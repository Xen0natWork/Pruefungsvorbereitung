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872393C8CCF89E9E93A07386236FB94FFCC0B320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Kann-Liste" sheetId="1" r:id="rId1"/>
    <sheet name="Beispielaufgaben" sheetId="2" r:id="rId2"/>
  </sheets>
  <definedNames>
    <definedName name="_xlnm._FilterDatabase" localSheetId="1" hidden="1">Beispielaufgaben!$A$7:$H$128</definedName>
    <definedName name="_xlnm.Print_Area" localSheetId="0">'Kann-Liste'!$A$1:$F$254</definedName>
    <definedName name="_xlnm.Print_Titles" localSheetId="1">Beispielaufgaben!$7:$7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4" i="1" l="1"/>
  <c r="F253" i="1"/>
  <c r="E253" i="1"/>
  <c r="F245" i="1"/>
  <c r="F244" i="1"/>
  <c r="E244" i="1"/>
  <c r="F235" i="1"/>
  <c r="F234" i="1"/>
  <c r="E234" i="1"/>
  <c r="F226" i="1"/>
  <c r="F225" i="1"/>
  <c r="E225" i="1"/>
  <c r="F217" i="1"/>
  <c r="F216" i="1"/>
  <c r="E216" i="1"/>
  <c r="F209" i="1"/>
  <c r="F208" i="1"/>
  <c r="E208" i="1"/>
  <c r="F200" i="1"/>
  <c r="F199" i="1"/>
  <c r="E199" i="1"/>
  <c r="F192" i="1"/>
  <c r="F191" i="1"/>
  <c r="E191" i="1"/>
  <c r="F184" i="1"/>
  <c r="F183" i="1"/>
  <c r="E183" i="1"/>
  <c r="F176" i="1"/>
  <c r="F175" i="1"/>
  <c r="E175" i="1"/>
  <c r="F167" i="1"/>
  <c r="F166" i="1"/>
  <c r="E166" i="1"/>
  <c r="F158" i="1"/>
  <c r="F157" i="1"/>
  <c r="E157" i="1"/>
  <c r="F149" i="1"/>
  <c r="F148" i="1"/>
  <c r="E148" i="1"/>
  <c r="F140" i="1"/>
  <c r="F139" i="1"/>
  <c r="E139" i="1"/>
  <c r="F133" i="1"/>
  <c r="F132" i="1"/>
  <c r="E132" i="1"/>
  <c r="F121" i="1"/>
  <c r="F120" i="1"/>
  <c r="E120" i="1"/>
  <c r="F109" i="1"/>
  <c r="F108" i="1"/>
  <c r="E108" i="1"/>
  <c r="F101" i="1"/>
  <c r="F100" i="1"/>
  <c r="E100" i="1"/>
  <c r="F92" i="1"/>
  <c r="F91" i="1"/>
  <c r="E91" i="1"/>
  <c r="F85" i="1"/>
  <c r="F84" i="1"/>
  <c r="E84" i="1"/>
  <c r="F79" i="1"/>
  <c r="F78" i="1"/>
  <c r="E78" i="1"/>
  <c r="F71" i="1"/>
  <c r="F70" i="1"/>
  <c r="E70" i="1"/>
  <c r="F63" i="1"/>
  <c r="F62" i="1"/>
  <c r="E62" i="1"/>
  <c r="F55" i="1"/>
  <c r="F54" i="1"/>
  <c r="E54" i="1"/>
  <c r="F44" i="1"/>
  <c r="F43" i="1"/>
  <c r="E43" i="1"/>
  <c r="F33" i="1"/>
  <c r="F32" i="1"/>
  <c r="F4" i="1"/>
  <c r="F3" i="1"/>
</calcChain>
</file>

<file path=xl/sharedStrings.xml><?xml version="1.0" encoding="utf-8"?>
<sst xmlns="http://schemas.openxmlformats.org/spreadsheetml/2006/main" count="1262" uniqueCount="877">
  <si>
    <t>Kann-Liste: Prüfung Teil 2 FIA</t>
  </si>
  <si>
    <t>Teil 2 der Abschlussprüfung – Fachinformatiker*in Anwendungsentwicklung (Prüfungsbereiche 1 und 2)</t>
  </si>
  <si>
    <t>Name:</t>
  </si>
  <si>
    <t>Gesamt:</t>
  </si>
  <si>
    <t>Klasse:</t>
  </si>
  <si>
    <t>Im Bereich der Teil-2-Prüfung FIA kann ich…</t>
  </si>
  <si>
    <t>Relevanz</t>
  </si>
  <si>
    <t>Beispielaufgabe</t>
  </si>
  <si>
    <t>erledigt am</t>
  </si>
  <si>
    <t>... Stakeholder analysieren, Befürchtungen begegnen und den Nutzen einer Digitalisierung darstellen (Themenbereich 01).</t>
  </si>
  <si>
    <t>T2 FIA 23W 1 1</t>
  </si>
  <si>
    <t>... ein passendes Vorgehensmodell wählen, Projekte mit Netzplan planen, mit Change Requests und Meilensteinen steuern und erfolgreich abschließen (Themenbereich 02).</t>
  </si>
  <si>
    <t>T2 FIA 26S 1 1</t>
  </si>
  <si>
    <t>... Machbarkeit prüfen, Projektrisiken analysieren und Kosten sowie Fremdvergabe beurteilen (Themenbereich 03).</t>
  </si>
  <si>
    <t>T2 FIA 25W 1 1</t>
  </si>
  <si>
    <t>... Anforderungen als funktionale und nichtfunktionale Anforderungen sowie als User Stories formulieren (Themenbereich 04).</t>
  </si>
  <si>
    <t>T2 FIA 23W 1 2</t>
  </si>
  <si>
    <t>... Anwendungsfalldiagramme und Aktivitätsdiagramme zu Geschäftsprozessen erstellen (Themenbereich 05).</t>
  </si>
  <si>
    <t>T2 FIA 21W 2 1</t>
  </si>
  <si>
    <t>... Zustandsdiagramme und Sequenzdiagramme erstellen und ergänzen (Themenbereich 06).</t>
  </si>
  <si>
    <t>T2 FIA 25W 2 2</t>
  </si>
  <si>
    <t>... Klassendiagramme mit Attributen, Methoden, Sichtbarkeiten und Beziehungen erstellen (Themenbereich 07).</t>
  </si>
  <si>
    <t>T2 FIA 24W 1 3</t>
  </si>
  <si>
    <t>... Polymorphie, abstrakte Klassen, Interfaces und generische Klassen anwenden (Themenbereich 08).</t>
  </si>
  <si>
    <t>T2 FIA 26S 2 2</t>
  </si>
  <si>
    <t>... Entwurfsmuster wie Observer und Factory Method erläutern, auswählen und umsetzen (Themenbereich 09).</t>
  </si>
  <si>
    <t>T2 FIA 25S 1 4</t>
  </si>
  <si>
    <t>... Algorithmen mit Arrays, Listen und Objekten in Pseudocode entwickeln, sortieren und rekursiv bzw. iterativ lösen (Themenbereich 10).</t>
  </si>
  <si>
    <t>T2 FIA 25W 2 1</t>
  </si>
  <si>
    <t>... Unit-Tests durchführen, Testdaten bilden, Code prüfen und Fehler korrigieren (Themenbereich 11).</t>
  </si>
  <si>
    <t>T2 FIA 22S 2 2</t>
  </si>
  <si>
    <t>... Anweisungs-, Zweig- und Pfadüberdeckung erläutern und anwenden (Themenbereich 12).</t>
  </si>
  <si>
    <t>T2 FIA 24S 2 3</t>
  </si>
  <si>
    <t>... Qualitätsmerkmale nach ISO/IEC 25010 beschreiben und Maßnahmen der Qualitätssicherung planen (Themenbereich 13).</t>
  </si>
  <si>
    <t>T2 FIA 25W 1 3</t>
  </si>
  <si>
    <t>... Versionsverwaltung, Bibliotheken, Open Source und automatisierte Bereitstellung einsetzen (Themenbereich 14).</t>
  </si>
  <si>
    <t>T2 FIA 21W 1 1</t>
  </si>
  <si>
    <t>... ergonomische und barrierefreie Benutzeroberflächen entwerfen, mit Mockups skizzieren und bewerten (Themenbereich 15).</t>
  </si>
  <si>
    <t>T2 FIA 26S 1 4</t>
  </si>
  <si>
    <t>... Webarchitekturen beschreiben und REST-APIs mit HTTP nutzen und implementieren (Themenbereich 16).</t>
  </si>
  <si>
    <t>T2 FIA 24S 1 2</t>
  </si>
  <si>
    <t>... Daten mit XML und JSON austauschen und validieren (Themenbereich 17).</t>
  </si>
  <si>
    <t>T2 FIA 22W 1 3</t>
  </si>
  <si>
    <t>... Netzwerktechnologien für Anwendungen auswählen und Netzwerkdaten auswerten (Themenbereich 18).</t>
  </si>
  <si>
    <t>T2 FIA 24W 1 2</t>
  </si>
  <si>
    <t>... Verschlüsselungsverfahren, Zertifikate und digitale Signaturen zur Sicherung von Vertraulichkeit, Integrität und Authentizität einsetzen (Themenbereich 19).</t>
  </si>
  <si>
    <t>T2 FIA 26S 1 3</t>
  </si>
  <si>
    <t>... Authentifizierung, Passwortspeicherung und Datenschutz in Anwendungen umsetzen (Themenbereich 20).</t>
  </si>
  <si>
    <t>T2 FIA 24S 2 1</t>
  </si>
  <si>
    <t>... relationale und dokumentenorientierte Datenbanksysteme vergleichen und Datenbankobjekte erläutern (Themenbereich 21).</t>
  </si>
  <si>
    <t>T2 FIA 23W 1 3</t>
  </si>
  <si>
    <t>... ER-Modelle und relationale Datenmodelle in 3. Normalform entwerfen (Themenbereich 22).</t>
  </si>
  <si>
    <t>T2 FIA 22W 2 3</t>
  </si>
  <si>
    <t>... Datenqualität beurteilen, Daten importieren, mit Tabellenkalkulation auswerten und Speicherbedarf berechnen (Themenbereich 23).</t>
  </si>
  <si>
    <t>T2 FIA 23S 1 3</t>
  </si>
  <si>
    <t>... Tabellen mit SQL anlegen und ändern, Datensätze pflegen und archivieren sowie Rechte vergeben (Themenbereich 24).</t>
  </si>
  <si>
    <t>T2 FIA 26S 2 4</t>
  </si>
  <si>
    <t>... SQL-Abfragen mit Filtern, Sortierung, Verbünden, Gruppierung und Unterabfragen erstellen (Themenbereich 25).</t>
  </si>
  <si>
    <t>T2 FIA 23S 2 4</t>
  </si>
  <si>
    <t>Übersicht Teil 2 FIA</t>
  </si>
  <si>
    <t>Im Themenbereich 01 „Stakeholder einbinden und Digitalisierung begleiten“ kann ich…</t>
  </si>
  <si>
    <t>... Stakeholder eines Projekts mit ihren Interessen, Erwartungen und Befürchtungen nennen.</t>
  </si>
  <si>
    <t>T2 FIA 25S 1 1b</t>
  </si>
  <si>
    <t>... Befürchtungen von Stakeholdern und Beschäftigten identifizieren und passende Gegenmaßnahmen beschreiben.</t>
  </si>
  <si>
    <t>T2 FIA 22S 1 1b</t>
  </si>
  <si>
    <t>... Schritte zur Bewältigung eines Konflikts (z. B. Angst vor Arbeitsplatzverlust) beschreiben.</t>
  </si>
  <si>
    <t>T2 FIA 23S 1 1a</t>
  </si>
  <si>
    <t>... Ziele eines Einführungs-Workshops mit dem Kunden erläutern.</t>
  </si>
  <si>
    <t>T2 FIA 23W 1 1b</t>
  </si>
  <si>
    <t>... Aspekte des technischen und rechtlichen Umfelds im Rahmen einer Umfeldanalyse erläutern.</t>
  </si>
  <si>
    <t>T2 FIA 25S 1 1a</t>
  </si>
  <si>
    <t>... Probleme eines bestehenden Prozesses benennen und den Nutzen einer Digitalisierung (z. B. E-Service-Plattform) erläutern.</t>
  </si>
  <si>
    <t>T2 FIA 25S 1 3b</t>
  </si>
  <si>
    <t>... Green IT beschreiben und ihre Ziele nennen.</t>
  </si>
  <si>
    <t>T2 FIA 23W 1 1c</t>
  </si>
  <si>
    <t>Im Themenbereich 02 „Projekte planen, steuern und abschließen“ kann ich…</t>
  </si>
  <si>
    <t>... die Kategorien klassischer und agiler Vorgehensmodelle beschreiben und je ein Modell zuordnen.</t>
  </si>
  <si>
    <t>T2 FIA 22S 1 1a</t>
  </si>
  <si>
    <t>... klassisches und agiles Projektmanagement hinsichtlich Planung, Anforderungen und Flexibilität bei Änderungen vergleichen.</t>
  </si>
  <si>
    <t>T2 FIA 25W 1 1b</t>
  </si>
  <si>
    <t>... ein agiles Vorgehensmodell nennen und seine Elemente (Rollen, Artefakte, Ereignisse) beschreiben.</t>
  </si>
  <si>
    <t>T2 FIA 22W 1 2bb</t>
  </si>
  <si>
    <t>... einen Netzplan mit FAZ, FEZ, SAZ, SEZ, GP und FP erweitern und den kritischen Pfad angeben.</t>
  </si>
  <si>
    <t>T2 FIA 26S 1 1c</t>
  </si>
  <si>
    <t>... den Unterschied zwischen freiem Puffer und Gesamtpuffer beschreiben.</t>
  </si>
  <si>
    <t>T2 FIA 26S 1 1e</t>
  </si>
  <si>
    <t>... die Begriffe Change Request Management, Meilenstein, Stakeholder und Lessons Learned erläutern.</t>
  </si>
  <si>
    <t>T2 FIA 24W 1 1c</t>
  </si>
  <si>
    <t>... Aufgaben zur Vorbereitung eines Abschlussprotokolls beschreiben und erläutern, wie der Projekterfolg nach Projektende geprüft wird.</t>
  </si>
  <si>
    <t>T2 FIA 25S 1 1c</t>
  </si>
  <si>
    <t>Im Themenbereich 03 „Machbarkeit, Risiken und Kosten bewerten“ kann ich…</t>
  </si>
  <si>
    <t>... Kriterien einer Machbarkeitsanalyse erläutern.</t>
  </si>
  <si>
    <t>T2 FIA 25W 1 1a</t>
  </si>
  <si>
    <t>... Projektrisiken mit Ursachen und Auswirkungen identifizieren und Gegenmaßnahmen in einer Risikoanalyse beschreiben.</t>
  </si>
  <si>
    <t>T2 FIA 23S 1 1b</t>
  </si>
  <si>
    <t>... Kostenarten eines Softwareprojekts mit Beispielen nennen.</t>
  </si>
  <si>
    <t>T2 FIA 23S 1 1d</t>
  </si>
  <si>
    <t>... Vor- und Nachteile einer Fremdvergabe nennen.</t>
  </si>
  <si>
    <t>T2 FIA 22S 1 2a</t>
  </si>
  <si>
    <t>Im Themenbereich 04 „Anforderungen erheben und beschreiben“ kann ich…</t>
  </si>
  <si>
    <t>... Schwachstellen einer bestehenden Lösung beschreiben.</t>
  </si>
  <si>
    <t>T2 FIA 22W 1 1a</t>
  </si>
  <si>
    <t>... funktionale und nichtfunktionale Anforderungen an eine Anwendung oder Infrastruktur beschreiben.</t>
  </si>
  <si>
    <t>T2 FIA 22S 1 2b</t>
  </si>
  <si>
    <t>... Ersteller und Aufbau einer User Story erläutern und ein INVEST-Kriterium erklären.</t>
  </si>
  <si>
    <t>T2 FIA 23W 1 2ab</t>
  </si>
  <si>
    <t>... zu Anwendungsfällen User Stories formulieren.</t>
  </si>
  <si>
    <t>T2 FIA 23W 1 2b</t>
  </si>
  <si>
    <t>Im Themenbereich 05 „Anwendungsfälle und Abläufe mit UML modellieren“ kann ich…</t>
  </si>
  <si>
    <t>... aus Anforderungen ein UML-Anwendungsfalldiagramm mit Akteuren, Generalisierung sowie include- und extend-Beziehungen erstellen.</t>
  </si>
  <si>
    <t>T2 FIA 25W 1 2a</t>
  </si>
  <si>
    <t>... einen Geschäftsprozess oder Programmablauf als UML-Aktivitätsdiagramm mit Verzweigungen und Parallelität erstellen.</t>
  </si>
  <si>
    <t>T2 FIA 26S 1 2a</t>
  </si>
  <si>
    <t>... ein angefangenes Aktivitätsdiagramm mit Schwimmbahnen und mehreren Beteiligten vervollständigen.</t>
  </si>
  <si>
    <t>T2 FIA 23S 2 1</t>
  </si>
  <si>
    <t>... Varianten eines Ablaufs vergleichen und eine hinsichtlich ihrer Praxistauglichkeit begründet auswählen.</t>
  </si>
  <si>
    <t>T2 FIA 21W 2 1b</t>
  </si>
  <si>
    <t>Im Themenbereich 06 „Zustände und Interaktionen modellieren“ kann ich…</t>
  </si>
  <si>
    <t>... ein UML-Zustandsdiagramm mit Zuständen, Ereignissen und Bedingungen erstellen oder ergänzen.</t>
  </si>
  <si>
    <t>T2 FIA 24W 1 4a</t>
  </si>
  <si>
    <t>... ein UML-Sequenzdiagramm mit Nachrichten, Antworten, Aktivierungsbalken, Schleifen und Alternativen erstellen oder ergänzen.</t>
  </si>
  <si>
    <t>T2 FIA 23W 2 1</t>
  </si>
  <si>
    <t>Im Themenbereich 07 „Klassen modellieren“ kann ich…</t>
  </si>
  <si>
    <t>... ein UML-Klassendiagramm mit Attributen, Methoden, Datentypen und Sichtbarkeiten erstellen.</t>
  </si>
  <si>
    <t>T2 FIA 22S 1 3a</t>
  </si>
  <si>
    <t>... ein Klassendiagramm mit abstrakten Klassen, Vererbung und Aggregation zeichnen oder aus Fachanforderungen ergänzen.</t>
  </si>
  <si>
    <t>T2 FIA 26S 2 2a</t>
  </si>
  <si>
    <t>... Aggregation und Komposition unterscheiden, ihre Eignung beurteilen und Multiplizitäten wie 1..* und * erläutern.</t>
  </si>
  <si>
    <t>T2 FIA 24W 1 3bb</t>
  </si>
  <si>
    <t>Im Themenbereich 08 „Objektorientiert programmieren“ kann ich…</t>
  </si>
  <si>
    <t>... den Begriff Polymorphie und die späte Bindung zur Laufzeit erklären.</t>
  </si>
  <si>
    <t>T2 FIA 23S 1 2ba</t>
  </si>
  <si>
    <t>... überschreibende Methoden implementieren und polymorphe Objekte in einer Methode verarbeiten.</t>
  </si>
  <si>
    <t>T2 FIA 23S 1 2bd</t>
  </si>
  <si>
    <t>... Merkmale abstrakter Klassen im Vergleich zu Interfaces und gewöhnlichen Klassen erläutern.</t>
  </si>
  <si>
    <t>T2 FIA 25S 1 4b</t>
  </si>
  <si>
    <t>... die Realisierung eines Interfaces im Klassendiagramm ergänzen und die Art der Beziehung begründen.</t>
  </si>
  <si>
    <t>T2 FIA 22S 1 3ba</t>
  </si>
  <si>
    <t>... den Begriff generische Klasse erläutern.</t>
  </si>
  <si>
    <t>T2 FIA 22W 2 1c</t>
  </si>
  <si>
    <t>Im Themenbereich 09 „Entwurfsmuster einsetzen“ kann ich…</t>
  </si>
  <si>
    <t>... Vorteile von Entwurfsmustern beschreiben und Beispiele für Erzeugungs- und Verhaltensmuster nennen.</t>
  </si>
  <si>
    <t>T2 FIA 24W 1 4ba</t>
  </si>
  <si>
    <t>... für eine Aufgabenstellung ein geeignetes Entwurfsmuster nennen und begründen.</t>
  </si>
  <si>
    <t>T2 FIA 24W 1 4bc</t>
  </si>
  <si>
    <t>... das Observer-Muster umsetzen und Methoden wie notifyObservers implementieren.</t>
  </si>
  <si>
    <t>T2 FIA 22S 1 3cb</t>
  </si>
  <si>
    <t>... Aspekte und Einschränkungen des Musters Factory Method erläutern und eine Fabrikmethode implementieren.</t>
  </si>
  <si>
    <t>T2 FIA 23S 1 2bc</t>
  </si>
  <si>
    <t>Im Themenbereich 10 „Algorithmen entwickeln“ kann ich…</t>
  </si>
  <si>
    <t>... einen Algorithmus in Pseudocode entwickeln, der ein zweidimensionales Array auswertet (z. B. Minimum, Maximum, Zählungen).</t>
  </si>
  <si>
    <t>T2 FIA 22S 2 1</t>
  </si>
  <si>
    <t>... Funktionen entwickeln, die Listen von Objekten nach mehreren Bedingungen filtern, zählen und Kennwerte berechnen.</t>
  </si>
  <si>
    <t>T2 FIA 25S 2 1</t>
  </si>
  <si>
    <t>... aus einer Liste das Objekt mit der kleinsten Abweichung auswählen und Sonderfälle wie eine leere Liste behandeln.</t>
  </si>
  <si>
    <t>T2 FIA 25W 2 1b</t>
  </si>
  <si>
    <t>... Methoden einer Fachklasse auf Basis von Listen in Pseudocode implementieren.</t>
  </si>
  <si>
    <t>T2 FIA 24S 1 3ba</t>
  </si>
  <si>
    <t>... einen vorgegebenen Pseudocode für einen Optimierungsalgorithmus (z. B. Nearest Neighbor) vervollständigen.</t>
  </si>
  <si>
    <t>T2 FIA 23W 2 2</t>
  </si>
  <si>
    <t>... einen Sortieralgorithmus mit Vergleichsfunktion für Objekte erstellen und auf generische Parameter umstellen.</t>
  </si>
  <si>
    <t>T2 FIA 24S 2 2a</t>
  </si>
  <si>
    <t>... Fehler in einem rekursiven Algorithmus beschreiben und Vor- und Nachteile rekursiver und iterativer Lösungen vergleichen.</t>
  </si>
  <si>
    <t>T2 FIA 22W 2 2ab</t>
  </si>
  <si>
    <t>... einen iterativen Algorithmus (z. B. eine Zahlensystem-Umrechnung) erstellen.</t>
  </si>
  <si>
    <t>T2 FIA 22W 2 2c</t>
  </si>
  <si>
    <t>Im Themenbereich 11 „Software testen“ kann ich…</t>
  </si>
  <si>
    <t>... beschreiben, was ein Unit-Test ist, wozu er verwendet wird und welche Eigenschaften er hat.</t>
  </si>
  <si>
    <t>T2 FIA 25W 2 3aa</t>
  </si>
  <si>
    <t>... eine Funktion mit Testfällen testen, erwartetes und tatsächliches Ergebnis vergleichen und den Code korrigieren.</t>
  </si>
  <si>
    <t>T2 FIA 25W 2 3ba</t>
  </si>
  <si>
    <t>... Testdaten aus Äquivalenzklassen angeben und Testdaten begründet anpassen.</t>
  </si>
  <si>
    <t>T2 FIA 23S 2 3bc</t>
  </si>
  <si>
    <t>... einen Schreibtischtest für einen Algorithmus ausführen.</t>
  </si>
  <si>
    <t>T2 FIA 22W 2 2aa</t>
  </si>
  <si>
    <t>... Fehler in vorgegebenem Code finden und Vorschläge zur Änderung und Erweiterung machen.</t>
  </si>
  <si>
    <t>T2 FIA 23S 2 3ab</t>
  </si>
  <si>
    <t>... eine geeignete Behandlung ungültiger Eingaben (z. B. nur Leerzeichen) beschreiben.</t>
  </si>
  <si>
    <t>T2 FIA 25S 2 2bc</t>
  </si>
  <si>
    <t>... Black-Box- und White-Box-Tests beschreiben und Vorteile von White-Box-Tests nennen.</t>
  </si>
  <si>
    <t>T2 FIA 24S 2 3aa</t>
  </si>
  <si>
    <t>... den Zweck von Regressionstests erläutern und Inhalte eines Testkonzepts beschreiben.</t>
  </si>
  <si>
    <t>T2 FIA 23W 1 1d</t>
  </si>
  <si>
    <t>Im Themenbereich 12 „Testüberdeckung bestimmen“ kann ich…</t>
  </si>
  <si>
    <t>... Anweisungs-, Zweig- und Pfadüberdeckung erläutern und eine geeignete Überdeckungsart begründet auswählen.</t>
  </si>
  <si>
    <t>T2 FIA 25W 2 3ab</t>
  </si>
  <si>
    <t>... für gegebene Testdaten nicht durchlaufene Anweisungen und die Mindestanzahl an Testfällen bestimmen.</t>
  </si>
  <si>
    <t>T2 FIA 23S 2 3bb</t>
  </si>
  <si>
    <t>... die Pfade für eine vollständige Pfadüberdeckung notieren.</t>
  </si>
  <si>
    <t>T2 FIA 24S 2 3c</t>
  </si>
  <si>
    <t>Im Themenbereich 13 „Softwarequalität sichern“ kann ich…</t>
  </si>
  <si>
    <t>... Qualitätsmerkmale nach ISO/IEC 25010 (z. B. Effizienz, Änderbarkeit, Zuverlässigkeit) nennen und erläutern.</t>
  </si>
  <si>
    <t>T2 FIA 26S 1 4a</t>
  </si>
  <si>
    <t>... qualitätssichernde Maßnahmen bei der Softwareentwicklung beschreiben.</t>
  </si>
  <si>
    <t>T2 FIA 24S 1 1b</t>
  </si>
  <si>
    <t>... zum ausschließlichen Einsatz automatischer Code-Reviews und Unit-Tests Stellung nehmen.</t>
  </si>
  <si>
    <t>T2 FIA 21W 1 4cb</t>
  </si>
  <si>
    <t>... Möglichkeiten nennen, die Konformität einer Implementierung mit einer Spezifikation sicherzustellen, und den Einsatz von Online-Validatoren beurteilen.</t>
  </si>
  <si>
    <t>T2 FIA 25W 1 3bb</t>
  </si>
  <si>
    <t>... erklären, wie Prototyping zur Aufwandsschätzung und in der Konzeption eingesetzt wird.</t>
  </si>
  <si>
    <t>T2 FIA 25W 1 3c</t>
  </si>
  <si>
    <t>Im Themenbereich 14 „Im Team entwickeln und bereitstellen“ kann ich…</t>
  </si>
  <si>
    <t>... den Einsatz einer Versionsverwaltung im Entwicklerteam fachlich begründen.</t>
  </si>
  <si>
    <t>T2 FIA 21W 1 1c</t>
  </si>
  <si>
    <t>... Vor- und Nachteile einer Klassenbibliothek beschreiben und Aspekte der Dokumentation einer Bibliothekserweiterung nennen.</t>
  </si>
  <si>
    <t>T2 FIA 21W 1 1bb</t>
  </si>
  <si>
    <t>... den Begriff Open Source erläutern, Lizenzbedingungen beachten und Vor- und Nachteile von Open-Source-Bibliotheken beschreiben.</t>
  </si>
  <si>
    <t>T2 FIA 22W 1 2cc</t>
  </si>
  <si>
    <t>... die automatisierte Kompilierung und Bereitstellung (CI/CD) beschreiben und ihre Vorteile nennen.</t>
  </si>
  <si>
    <t>T2 FIA 22W 1 1cb</t>
  </si>
  <si>
    <t>... Warnungen zu nicht vertrauenswürdigen Quellen bei signierter Software deuten und über Kompilierungseinstellungen beheben.</t>
  </si>
  <si>
    <t>T2 FIA 21W 1 4ba</t>
  </si>
  <si>
    <t>Im Themenbereich 15 „Benutzeroberflächen gestalten“ kann ich…</t>
  </si>
  <si>
    <t>... Usability und User Experience erläutern und Möglichkeiten zum Test der Benutzerfreundlichkeit beschreiben.</t>
  </si>
  <si>
    <t>T2 FIA 21W 1 3aa</t>
  </si>
  <si>
    <t>... Gestaltungselemente für Benutzerschnittstellen ihrem Zweck zuordnen und Mängel einer Oberfläche aus UI/UX-Sicht beschreiben.</t>
  </si>
  <si>
    <t>T2 FIA 24S 1 4ba</t>
  </si>
  <si>
    <t>... Barrierefreiheit erläutern sowie Anforderungen und Maßnahmen für inklusives Design (Schrift, Farbe) beschreiben.</t>
  </si>
  <si>
    <t>T2 FIA 22W 1 3b</t>
  </si>
  <si>
    <t>... Vorteile von Mockups beschreiben und ein Mockup einer Oberfläche skizzieren oder ergänzen.</t>
  </si>
  <si>
    <t>T2 FIA 25S 1 2b</t>
  </si>
  <si>
    <t>... Darstellungsformen für Daten benennen, begründet auswählen und skizzieren.</t>
  </si>
  <si>
    <t>T2 FIA 23W 1 4bc</t>
  </si>
  <si>
    <t>Im Themenbereich 16 „Webanwendungen und REST-Schnittstellen“ kann ich…</t>
  </si>
  <si>
    <t>... Aufbau und Zusammenwirken einer 3-Schichten-Architektur einer Webanwendung beschreiben.</t>
  </si>
  <si>
    <t>T2 FIA 22W 1 2a</t>
  </si>
  <si>
    <t>... das Konzept einer REST-API erläutern und die Parameter einer REST-URL beschreiben.</t>
  </si>
  <si>
    <t>T2 FIA 26S 1 2ba</t>
  </si>
  <si>
    <t>... CRUD-Operationen den HTTP-Methoden zuordnen und die Bestandteile einer HTTP-Anfrage angeben.</t>
  </si>
  <si>
    <t>T2 FIA 26S 1 2bc</t>
  </si>
  <si>
    <t>... HTTP-Statuscodes (2xx, 4xx, 5xx) deuten und Ursachen für den Fehler 404 beschreiben.</t>
  </si>
  <si>
    <t>T2 FIA 21W 1 3c</t>
  </si>
  <si>
    <t>... Methoden implementieren, die Daten oder strukturierte Fehlerantworten für eine API erzeugen.</t>
  </si>
  <si>
    <t>T2 FIA 24W 2 2b</t>
  </si>
  <si>
    <t>Im Themenbereich 17 „Datenaustauschformate nutzen“ kann ich…</t>
  </si>
  <si>
    <t>... den Zweck einer DTD erläutern und die Eigenschaften wohlgeformt und gültig unterscheiden.</t>
  </si>
  <si>
    <t>T2 FIA 22W 1 3cb</t>
  </si>
  <si>
    <t>... Fehler in einem XML-Dokument finden und erklären, warum eine XSD-Validierung logische Fehler nicht erkennt.</t>
  </si>
  <si>
    <t>T2 FIA 25W 1 3bc</t>
  </si>
  <si>
    <t>... Datensätze aus Tabellen in JSON-Dokumente und -Arrays überführen.</t>
  </si>
  <si>
    <t>T2 FIA 23W 1 3ca</t>
  </si>
  <si>
    <t>... Ziele und Aspekte der elektronischen Rechnung aus einem englischen Fachtext erläutern.</t>
  </si>
  <si>
    <t>T2 FIA 25W 1 2bb</t>
  </si>
  <si>
    <t>Im Themenbereich 18 „Vernetzte Systeme anbinden“ kann ich…</t>
  </si>
  <si>
    <t>... LAN, SAN und LPWAN Anwendungsgebieten begründet zuordnen.</t>
  </si>
  <si>
    <t>T2 FIA 24W 1 2a</t>
  </si>
  <si>
    <t>... Merkmale von LoRa aus einem englischen Fachtext nennen und den Einsatz für ein IoT-Projekt begründen.</t>
  </si>
  <si>
    <t>T2 FIA 26S 1 3ab</t>
  </si>
  <si>
    <t>... die Felder eines Ethernet-Frames zuordnen und den Aufbau einer MAC-Adresse erläutern.</t>
  </si>
  <si>
    <t>T2 FIA 24W 1 2ba</t>
  </si>
  <si>
    <t>... ein Skript zur Ermittlung von IP- und MAC-Adressen schreiben.</t>
  </si>
  <si>
    <t>T2 FIA 24W 1 2c</t>
  </si>
  <si>
    <t>Im Themenbereich 19 „Daten verschlüsseln und signieren“ kann ich…</t>
  </si>
  <si>
    <t>... symmetrische, asymmetrische und hybride Verfahren beschreiben und ein geeignetes Verfahren begründet vorschlagen.</t>
  </si>
  <si>
    <t>T2 FIA 21W 1 4ab</t>
  </si>
  <si>
    <t>... das hybride Verfahren von TLS erläutern und die Prüfung der Authentizität über Zertifikate beschreiben.</t>
  </si>
  <si>
    <t>T2 FIA 22S 1 4c</t>
  </si>
  <si>
    <t>... das Schutzziel Integrität erläutern und eine digitale Signatur gegen unbemerkte Manipulation einsetzen.</t>
  </si>
  <si>
    <t>T2 FIA 23S 1 4b</t>
  </si>
  <si>
    <t>... den RSA-Algorithmus erläutern und seine Eignung für ein Szenario beurteilen.</t>
  </si>
  <si>
    <t>T2 FIA 26S 1 3bc</t>
  </si>
  <si>
    <t>Im Themenbereich 20 „Anwendungen sicher gestalten und Datenschutz beachten“ kann ich…</t>
  </si>
  <si>
    <t>... sicherheitstechnische Anforderungen an ein System beschreiben.</t>
  </si>
  <si>
    <t>T2 FIA 24S 1 1c</t>
  </si>
  <si>
    <t>... ein geeignetes Verfahren zur Speicherung von Passwörtern (Hash mit Salt) beschreiben.</t>
  </si>
  <si>
    <t>T2 FIA 25S 1 2c</t>
  </si>
  <si>
    <t>... Vor- und Nachteile von Single-Sign-On erläutern und Begriffe des OAuth2-Ablaufs zuordnen.</t>
  </si>
  <si>
    <t>T2 FIA 22W 1 1f</t>
  </si>
  <si>
    <t>... Schwachstellen beim Passwort-Reset und beim Dokumentenversand erkennen und sicherere Alternativen erläutern.</t>
  </si>
  <si>
    <t>T2 FIA 24S 2 1ca</t>
  </si>
  <si>
    <t>... Gründe für Datenschutzerklärung und Einwilligung nach DSGVO beschreiben.</t>
  </si>
  <si>
    <t>T2 FIA 24W 1 1d</t>
  </si>
  <si>
    <t>Im Themenbereich 21 „Datenbanksysteme auswählen“ kann ich…</t>
  </si>
  <si>
    <t>... Vorteile dokumentenorientierter NoSQL-Datenbanken erläutern und ein DBMS begründet auswählen.</t>
  </si>
  <si>
    <t>T2 FIA 22S 1 2c</t>
  </si>
  <si>
    <t>... relationale und dokumentenorientierte Fachbegriffe einander zuordnen.</t>
  </si>
  <si>
    <t>T2 FIA 23W 1 3b</t>
  </si>
  <si>
    <t>... die ACID-Eigenschaften von Transaktionen beschreiben.</t>
  </si>
  <si>
    <t>T2 FIA 23W 1 3a</t>
  </si>
  <si>
    <t>... Stored Procedures, Trigger und Indizes beschreiben.</t>
  </si>
  <si>
    <t>T2 FIA 22S 2 4aa</t>
  </si>
  <si>
    <t>Im Themenbereich 22 „Datenbanken modellieren“ kann ich…</t>
  </si>
  <si>
    <t>... ein ER-Modell mit Entitätstypen, Beziehungen, Kardinalitäten und ggf. Attributen erstellen oder erweitern.</t>
  </si>
  <si>
    <t>T2 FIA 25S 1 2a</t>
  </si>
  <si>
    <t>... ein relationales Datenmodell in 3. Normalform mit Primär- und Fremdschlüsseln und Kardinalitäten erstellen oder erweitern.</t>
  </si>
  <si>
    <t>T2 FIA 21W 2 3</t>
  </si>
  <si>
    <t>... Redundanz sowie Änderungs-, Einfüge- und Löschanomalien an Beispielen erläutern.</t>
  </si>
  <si>
    <t>T2 FIA 25W 1 4b</t>
  </si>
  <si>
    <t>... eine nicht normalisierte Tabelle in die 3. Normalform überführen.</t>
  </si>
  <si>
    <t>T2 FIA 25W 1 4c</t>
  </si>
  <si>
    <t>... sinnvolle Datentypen für Attribute festlegen.</t>
  </si>
  <si>
    <t>T2 FIA 22W 2 3c</t>
  </si>
  <si>
    <t>Im Themenbereich 23 „Daten aufbereiten und Speicherbedarf berechnen“ kann ich…</t>
  </si>
  <si>
    <t>... Datenqualitätsprobleme gelieferter Daten und ihre Folgen beschreiben.</t>
  </si>
  <si>
    <t>T2 FIA 24W 2 3ba</t>
  </si>
  <si>
    <t>... einen Importweg für externe Daten aufzeigen und eine Importidee beurteilen.</t>
  </si>
  <si>
    <t>T2 FIA 24W 2 3bb</t>
  </si>
  <si>
    <t>... den Speicherbedarf von Bilddaten über einen Zeitraum in GiB bzw. TiB berechnen.</t>
  </si>
  <si>
    <t>T2 FIA 23W 2 3b</t>
  </si>
  <si>
    <t>... Formeln in der Tabellenkalkulation mit Datumsfunktionen, SVERWEIS und Bedingungen angeben.</t>
  </si>
  <si>
    <t>T2 FIA 23S 1 3ab</t>
  </si>
  <si>
    <t>... Einsatzmöglichkeiten und Probleme von Tabellenkalkulationsprogrammen beschreiben.</t>
  </si>
  <si>
    <t>T2 FIA 23S 1 3ba</t>
  </si>
  <si>
    <t>Im Themenbereich 24 „Datenbanken mit SQL verwalten“ kann ich…</t>
  </si>
  <si>
    <t>... CRUD-Operationen den SQL-Befehlen zuordnen und als DDL, DML oder DQL einordnen.</t>
  </si>
  <si>
    <t>T2 FIA 26S 2 4a</t>
  </si>
  <si>
    <t>... mit CREATE TABLE, CREATE INDEX und ALTER TABLE Tabellen, Indizes, Spalten und Pflichtfelder anlegen bzw. ändern.</t>
  </si>
  <si>
    <t>T2 FIA 25W 2 4d</t>
  </si>
  <si>
    <t>... mit INSERT und UPDATE Datensätze einfügen und berechnet ändern, auch mit Bedingungen über mehrere Tabellen.</t>
  </si>
  <si>
    <t>T2 FIA 23W 2 4c</t>
  </si>
  <si>
    <t>... mit DELETE Datensätze löschen, auch solche ohne zugehörige Datensätze in einer anderen Tabelle.</t>
  </si>
  <si>
    <t>T2 FIA 22S 2 4bb</t>
  </si>
  <si>
    <t>... Datensätze mit INSERT INTO … SELECT archivieren und anschließend aus den Ursprungstabellen löschen.</t>
  </si>
  <si>
    <t>T2 FIA 22W 2 4b</t>
  </si>
  <si>
    <t>... Benutzer anlegen und Rechte mit GRANT und REVOKE vergeben und entziehen.</t>
  </si>
  <si>
    <t>T2 FIA 23S 2 4d</t>
  </si>
  <si>
    <t>Im Themenbereich 25 „Daten mit SQL abfragen“ kann ich…</t>
  </si>
  <si>
    <t>... mit SELECT, WHERE, ORDER BY, IN, BETWEEN und LIKE gezielt Datensätze abfragen und sortieren.</t>
  </si>
  <si>
    <t>T2 FIA 21W 2 4e</t>
  </si>
  <si>
    <t>... mit Aggregatfunktionen und GROUP BY Kennzahlen je Gruppe ermitteln und mit HAVING filtern.</t>
  </si>
  <si>
    <t>T2 FIA 26S 2 4b</t>
  </si>
  <si>
    <t>... Daten aus mehreren Tabellen mit JOIN verknüpfen und berechnete Werte (z. B. Gesamtpreis, Verspätung, Verbrauch) ausgeben.</t>
  </si>
  <si>
    <t>T2 FIA 24W 2 4c</t>
  </si>
  <si>
    <t>... Datums- und Zeitfunktionen für Auswertungen je Zeitraum einsetzen.</t>
  </si>
  <si>
    <t>T2 FIA 22W 2 4a</t>
  </si>
  <si>
    <t>... Unterabfragen und UNION einsetzen, z. B. für Durchschnitte über aggregierte Werte oder Archivdaten.</t>
  </si>
  <si>
    <t>T2 FIA 24S 2 4d</t>
  </si>
  <si>
    <t>Beispielaufgaben zur Kann-Liste Prüfung Teil 2 FIA</t>
  </si>
  <si>
    <t>Grundlage: Prüfungskatalog AP2-2 FI Anwendungsentwicklung und AP2-1 (Stand 2025, ohne gestrichene del-Themen); T2-Prüfungen FIA Winter 2021/22 bis Sommer 2026, Prüfungsbereiche 1 (Planen eines Softwareproduktes) und 2 (Entwicklung und Umsetzung von Algorithmen)</t>
  </si>
  <si>
    <t>Notation: Prüfungsart Beruf JJ+Termin Prüfungsteil Aufgabe+Teilaufgabe, z. B. „T2 FISY 22W 1 2ac“ = Teil 2 Systemintegration Winter 2022/23, Prüfungsbereich 1, Aufgabe 2ac; „T2 25W WISO 7“ = Teil 2 Winter 2025/26, Prüfungsbereich Wirtschafts- und Sozialkunde (für alle Berufe gleich), Aufgabe 7; „GA1 FIA 19W 5c“ / „GA2 21W 5bc“ = Ganzheitliche Aufgabe I bzw. II (alte Ordnung); „WISO 19W 7“ = Wirtschafts- und Sozialkunde der alten Ordnung, Aufgabe 7; „T1 25H 1 4b“ = Teil 1 Herbst 2025; „ZP 19F 1.3“ = Zwischenprüfung (alte Ordnung) Frühjahr 2019, Funktion 1, Aufgabe 3 – nur als Fallback, wenn es keine andere Aufgabe gibt.</t>
  </si>
  <si>
    <t>Relevanz = Maximum aus Häufigkeit und Punktgewicht, mindestens 3 %. Maßgeblich: T2 FIA (21W–26S) – Häufigkeit = gewichteter Anteil der 10 Prüfungstermine mit dem Thema (jüngster Prüfungszeitraum 100 %, je älterem Zeitraum 3 Prozentpunkte weniger; ein Prüfungszeitraum ist ein Halbjahr bzw. Prüfungstermin – kommt das Thema darin in mehreren Prüfungsteilen vor (z. B. T2 und WISO oder GA1, GA2 und WISO), zählt der Zeitraum einmal). Punktgewicht = höchste Punktsumme der zugeordneten Teilaufgaben innerhalb eines Prüfungsteils ÷ 100. Ohne Aufgabe: 3 %.</t>
  </si>
  <si>
    <t>Die Aufgaben- und Lösungsbilder der Beispielaufgabe (jeweils die ganze Aufgabe, bei WISO die Einzelaufgabe) liegen im Ordner „Aufgaben“ neben dieser Datei. „–“ = keine Prüfungsaufgabe, eigene Übung nötig; „alt:“ = Aufgabe zu einem im Katalog 2025 gestrichenen Thema. Bei WISO-Aufgaben liegen das Bild der Einzelaufgabe und der Lösungsbogen des ganzen Aufgabensatzes im Ordner.</t>
  </si>
  <si>
    <t>Nr.</t>
  </si>
  <si>
    <t>Themenbereich</t>
  </si>
  <si>
    <t>Kann-Satz („Ich kann …“)</t>
  </si>
  <si>
    <t>Alle zugeordneten Prüfungsaufgaben</t>
  </si>
  <si>
    <t>Berechnung</t>
  </si>
  <si>
    <t>Dateien im Ordner Aufgaben</t>
  </si>
  <si>
    <t>1.1</t>
  </si>
  <si>
    <t>Stakeholder einbinden und Digitalisierung begleiten</t>
  </si>
  <si>
    <t>Ich kann Stakeholder eines Projekts mit ihren Interessen, Erwartungen und Befürchtungen nennen.</t>
  </si>
  <si>
    <t>T2 FIA 25S 1 1b, T2 FIA 23W 1 1a</t>
  </si>
  <si>
    <t>T2: Häufigkeit 21 %, Punktgewicht 10 %</t>
  </si>
  <si>
    <t>01 Stakeholder einbinden und Digitalisierung begleiten\T2_FIA_25S_1_SoftwarePlanen_1_Arbeitszeiterfassung_1von2.png
01 Stakeholder einbinden und Digitalisierung begleiten\T2_FIA_25S_1_SoftwarePlanen_1_Arbeitszeiterfassung_2von2.png
01 Stakeholder einbinden und Digitalisierung begleiten\T2_FIA_25S_1_SoftwarePlanen_1_Arbeitszeiterfassung_Lösung.png</t>
  </si>
  <si>
    <t>1.2</t>
  </si>
  <si>
    <t>Ich kann Befürchtungen von Stakeholdern und Beschäftigten identifizieren und passende Gegenmaßnahmen beschreiben.</t>
  </si>
  <si>
    <t>T2 FIA 24S 1 1d, T2 FIA 22S 1 1b</t>
  </si>
  <si>
    <t>T2: Häufigkeit 19 %, Punktgewicht 12 %</t>
  </si>
  <si>
    <t>01 Stakeholder einbinden und Digitalisierung begleiten\T2_FIA_22S_1_SoftwarePlanen_1_Energieversorger.png
01 Stakeholder einbinden und Digitalisierung begleiten\T2_FIA_22S_1_SoftwarePlanen_1_Energieversorger_Lösung.png</t>
  </si>
  <si>
    <t>1.3</t>
  </si>
  <si>
    <t>Ich kann Schritte zur Bewältigung eines Konflikts (z. B. Angst vor Arbeitsplatzverlust) beschreiben.</t>
  </si>
  <si>
    <t>T2: Häufigkeit 9 %, Punktgewicht 4 %</t>
  </si>
  <si>
    <t>01 Stakeholder einbinden und Digitalisierung begleiten\T2_FIA_23S_1_SoftwarePlanen_1_Besucherapp_1von2.png
01 Stakeholder einbinden und Digitalisierung begleiten\T2_FIA_23S_1_SoftwarePlanen_1_Besucherapp_2von2.png
01 Stakeholder einbinden und Digitalisierung begleiten\T2_FIA_23S_1_SoftwarePlanen_1_Besucherapp_Lösung.png</t>
  </si>
  <si>
    <t>1.4</t>
  </si>
  <si>
    <t>Ich kann Ziele eines Einführungs-Workshops mit dem Kunden erläutern.</t>
  </si>
  <si>
    <t>T2: Häufigkeit 10 %, Punktgewicht 6 %</t>
  </si>
  <si>
    <t>01 Stakeholder einbinden und Digitalisierung begleiten\T2_FIA_23W_1_AMAGSoft_1_StakeholderWorkshopGreenITTestkonzept.png
01 Stakeholder einbinden und Digitalisierung begleiten\T2_FIA_23W_1_AMAGSoft_1_StakeholderWorkshopGreenITTestkonzept_Lösung.png</t>
  </si>
  <si>
    <t>1.5</t>
  </si>
  <si>
    <t>Ich kann Aspekte des technischen und rechtlichen Umfelds im Rahmen einer Umfeldanalyse erläutern.</t>
  </si>
  <si>
    <t>T2: Häufigkeit 11 %, Punktgewicht 6 %</t>
  </si>
  <si>
    <t>1.6</t>
  </si>
  <si>
    <t>Ich kann Probleme eines bestehenden Prozesses benennen und den Nutzen einer Digitalisierung (z. B. E-Service-Plattform) erläutern.</t>
  </si>
  <si>
    <t>T2 FIA 25S 1 3b, T2 FIA 24S 1 1a</t>
  </si>
  <si>
    <t>T2: Häufigkeit 21 %, Punktgewicht 12 %</t>
  </si>
  <si>
    <t>01 Stakeholder einbinden und Digitalisierung begleiten\T2_FIA_25S_1_SoftwarePlanen_3_Visite_1von2.png
01 Stakeholder einbinden und Digitalisierung begleiten\T2_FIA_25S_1_SoftwarePlanen_3_Visite_2von2.png
01 Stakeholder einbinden und Digitalisierung begleiten\T2_FIA_25S_1_SoftwarePlanen_3_Visite_Lösung_1von2.png
01 Stakeholder einbinden und Digitalisierung begleiten\T2_FIA_25S_1_SoftwarePlanen_3_Visite_Lösung_2von2.png</t>
  </si>
  <si>
    <t>1.7</t>
  </si>
  <si>
    <t>Ich kann Green IT beschreiben und ihre Ziele nennen.</t>
  </si>
  <si>
    <t>T2: Häufigkeit 10 %, Punktgewicht 4 %</t>
  </si>
  <si>
    <t>2.1</t>
  </si>
  <si>
    <t>Projekte planen, steuern und abschließen</t>
  </si>
  <si>
    <t>Ich kann die Kategorien klassischer und agiler Vorgehensmodelle beschreiben und je ein Modell zuordnen.</t>
  </si>
  <si>
    <t>T2 FIA 24W 1 1a, T2 FIA 24W 1 1b, T2 FIA 22S 1 1a</t>
  </si>
  <si>
    <t>T2: Häufigkeit 19 %, Punktgewicht 8 %</t>
  </si>
  <si>
    <t>02 Projekte planen, steuern und abschließen\T2_FIA_22S_1_SoftwarePlanen_1_Energieversorger.png
02 Projekte planen, steuern und abschließen\T2_FIA_22S_1_SoftwarePlanen_1_Energieversorger_Lösung.png</t>
  </si>
  <si>
    <t>2.2</t>
  </si>
  <si>
    <t>Ich kann klassisches und agiles Projektmanagement hinsichtlich Planung, Anforderungen und Flexibilität bei Änderungen vergleichen.</t>
  </si>
  <si>
    <t>T2: Häufigkeit 11 %, Punktgewicht 8 %</t>
  </si>
  <si>
    <t>02 Projekte planen, steuern und abschließen\T2_FIA_25W_1_SoftwarePlanen_1_Gastroapp_1von3.png
02 Projekte planen, steuern und abschließen\T2_FIA_25W_1_SoftwarePlanen_1_Gastroapp_2von3.png
02 Projekte planen, steuern und abschließen\T2_FIA_25W_1_SoftwarePlanen_1_Gastroapp_3von3.png
02 Projekte planen, steuern und abschließen\T2_FIA_25W_1_SoftwarePlanen_1_Gastroapp_Lösung.png</t>
  </si>
  <si>
    <t>2.3</t>
  </si>
  <si>
    <t>Ich kann ein agiles Vorgehensmodell nennen und seine Elemente (Rollen, Artefakte, Ereignisse) beschreiben.</t>
  </si>
  <si>
    <t>T2 FIA 22W 1 2ba, T2 FIA 22W 1 2bb</t>
  </si>
  <si>
    <t>T2: Häufigkeit 9 %, Punktgewicht 7 %</t>
  </si>
  <si>
    <t>02 Projekte planen, steuern und abschließen\T2_FIA_22W_1_SoftwarePlanen_2_Raumbuchung_1von2.png
02 Projekte planen, steuern und abschließen\T2_FIA_22W_1_SoftwarePlanen_2_Raumbuchung_2von2.png
02 Projekte planen, steuern und abschließen\T2_FIA_22W_1_SoftwarePlanen_2_Raumbuchung_Lösung.png</t>
  </si>
  <si>
    <t>2.4</t>
  </si>
  <si>
    <t>Ich kann einen Netzplan mit FAZ, FEZ, SAZ, SEZ, GP und FP erweitern und den kritischen Pfad angeben.</t>
  </si>
  <si>
    <t>T2 FIA 26S 1 1c, T2 FIA 26S 1 1d</t>
  </si>
  <si>
    <t>T2: Häufigkeit 12 %, Punktgewicht 17 %</t>
  </si>
  <si>
    <t>02 Projekte planen, steuern und abschließen\T2_FIA_26S_1_SoftwarePlanen_1_Landwirtschaft_1von3.png
02 Projekte planen, steuern und abschließen\T2_FIA_26S_1_SoftwarePlanen_1_Landwirtschaft_2von3.png
02 Projekte planen, steuern und abschließen\T2_FIA_26S_1_SoftwarePlanen_1_Landwirtschaft_3von3.png
02 Projekte planen, steuern und abschließen\T2_FIA_26S_1_SoftwarePlanen_1_Landwirtschaft_Lösung_1von2.png
02 Projekte planen, steuern und abschließen\T2_FIA_26S_1_SoftwarePlanen_1_Landwirtschaft_Lösung_2von2.png</t>
  </si>
  <si>
    <t>2.5</t>
  </si>
  <si>
    <t>Ich kann den Unterschied zwischen freiem Puffer und Gesamtpuffer beschreiben.</t>
  </si>
  <si>
    <t>T2: Häufigkeit 12 %, Punktgewicht 2 %</t>
  </si>
  <si>
    <t>2.6</t>
  </si>
  <si>
    <t>Ich kann die Begriffe Change Request Management, Meilenstein, Stakeholder und Lessons Learned erläutern.</t>
  </si>
  <si>
    <t>T2: Häufigkeit 11 %, Punktgewicht 12 %</t>
  </si>
  <si>
    <t>02 Projekte planen, steuern und abschließen\T2_FIA_24W_1_SoftwarePlanen_1_KVAG_1von2.png
02 Projekte planen, steuern und abschließen\T2_FIA_24W_1_SoftwarePlanen_1_KVAG_2von2.png
02 Projekte planen, steuern und abschließen\T2_FIA_24W_1_SoftwarePlanen_1_KVAG_Lösung.png</t>
  </si>
  <si>
    <t>2.7</t>
  </si>
  <si>
    <t>Ich kann Aufgaben zur Vorbereitung eines Abschlussprotokolls beschreiben und erläutern, wie der Projekterfolg nach Projektende geprüft wird.</t>
  </si>
  <si>
    <t>T2 FIA 26S 1 1a, T2 FIA 25S 1 1c</t>
  </si>
  <si>
    <t>T2: Häufigkeit 22 %, Punktgewicht 4 %</t>
  </si>
  <si>
    <t>02 Projekte planen, steuern und abschließen\T2_FIA_25S_1_SoftwarePlanen_1_Arbeitszeiterfassung_1von2.png
02 Projekte planen, steuern und abschließen\T2_FIA_25S_1_SoftwarePlanen_1_Arbeitszeiterfassung_2von2.png
02 Projekte planen, steuern und abschließen\T2_FIA_25S_1_SoftwarePlanen_1_Arbeitszeiterfassung_Lösung.png</t>
  </si>
  <si>
    <t>3.1</t>
  </si>
  <si>
    <t>Machbarkeit, Risiken und Kosten bewerten</t>
  </si>
  <si>
    <t>Ich kann Kriterien einer Machbarkeitsanalyse erläutern.</t>
  </si>
  <si>
    <t>03 Machbarkeit, Risiken und Kosten bewerten\T2_FIA_25W_1_SoftwarePlanen_1_Gastroapp_1von3.png
03 Machbarkeit, Risiken und Kosten bewerten\T2_FIA_25W_1_SoftwarePlanen_1_Gastroapp_2von3.png
03 Machbarkeit, Risiken und Kosten bewerten\T2_FIA_25W_1_SoftwarePlanen_1_Gastroapp_3von3.png
03 Machbarkeit, Risiken und Kosten bewerten\T2_FIA_25W_1_SoftwarePlanen_1_Gastroapp_Lösung.png</t>
  </si>
  <si>
    <t>3.2</t>
  </si>
  <si>
    <t>Ich kann Projektrisiken mit Ursachen und Auswirkungen identifizieren und Gegenmaßnahmen in einer Risikoanalyse beschreiben.</t>
  </si>
  <si>
    <t>T2 FIA 26S 1 1b, T2 FIA 25W 1 1c, T2 FIA 23S 1 1b</t>
  </si>
  <si>
    <t>T2: Häufigkeit 32 %, Punktgewicht 8 %</t>
  </si>
  <si>
    <t>03 Machbarkeit, Risiken und Kosten bewerten\T2_FIA_23S_1_SoftwarePlanen_1_Besucherapp_1von2.png
03 Machbarkeit, Risiken und Kosten bewerten\T2_FIA_23S_1_SoftwarePlanen_1_Besucherapp_2von2.png
03 Machbarkeit, Risiken und Kosten bewerten\T2_FIA_23S_1_SoftwarePlanen_1_Besucherapp_Lösung.png</t>
  </si>
  <si>
    <t>3.3</t>
  </si>
  <si>
    <t>Ich kann Kostenarten eines Softwareprojekts mit Beispielen nennen.</t>
  </si>
  <si>
    <t>3.4</t>
  </si>
  <si>
    <t>Ich kann Vor- und Nachteile einer Fremdvergabe nennen.</t>
  </si>
  <si>
    <t>03 Machbarkeit, Risiken und Kosten bewerten\T2_FIA_22S_1_SoftwarePlanen_2_Energieversorger_1von2.png
03 Machbarkeit, Risiken und Kosten bewerten\T2_FIA_22S_1_SoftwarePlanen_2_Energieversorger_2von2.png
03 Machbarkeit, Risiken und Kosten bewerten\T2_FIA_22S_1_SoftwarePlanen_2_Energieversorger_Lösung.png</t>
  </si>
  <si>
    <t>4.1</t>
  </si>
  <si>
    <t>Anforderungen erheben und beschreiben</t>
  </si>
  <si>
    <t>Ich kann Schwachstellen einer bestehenden Lösung beschreiben.</t>
  </si>
  <si>
    <t>04 Anforderungen erheben und beschreiben\T2_FIA_22W_1_SoftwarePlanen_1_Raumbuchung_1von2.png
04 Anforderungen erheben und beschreiben\T2_FIA_22W_1_SoftwarePlanen_1_Raumbuchung_2von2.png
04 Anforderungen erheben und beschreiben\T2_FIA_22W_1_SoftwarePlanen_1_Raumbuchung_Lösung.png</t>
  </si>
  <si>
    <t>4.2</t>
  </si>
  <si>
    <t>Ich kann funktionale und nichtfunktionale Anforderungen an eine Anwendung oder Infrastruktur beschreiben.</t>
  </si>
  <si>
    <t>T2 FIA 23S 1 1c, T2 FIA 22W 1 1b, T2 FIA 22S 1 2b</t>
  </si>
  <si>
    <t>T2: Häufigkeit 27 %, Punktgewicht 12 %</t>
  </si>
  <si>
    <t>04 Anforderungen erheben und beschreiben\T2_FIA_22S_1_SoftwarePlanen_2_Energieversorger_1von2.png
04 Anforderungen erheben und beschreiben\T2_FIA_22S_1_SoftwarePlanen_2_Energieversorger_2von2.png
04 Anforderungen erheben und beschreiben\T2_FIA_22S_1_SoftwarePlanen_2_Energieversorger_Lösung.png</t>
  </si>
  <si>
    <t>4.3</t>
  </si>
  <si>
    <t>Ich kann Ersteller und Aufbau einer User Story erläutern und ein INVEST-Kriterium erklären.</t>
  </si>
  <si>
    <t>T2 FIA 23W 1 2aa, T2 FIA 23W 1 2ab, T2 FIA 23W 1 2ac</t>
  </si>
  <si>
    <t>T2: Häufigkeit 10 %, Punktgewicht 7 %</t>
  </si>
  <si>
    <t>04 Anforderungen erheben und beschreiben\T2_FIA_23W_1_AMAGSoft_2_UserStoriesAktivitaetsdiagramm.png
04 Anforderungen erheben und beschreiben\T2_FIA_23W_1_AMAGSoft_2_UserStoriesAktivitaetsdiagramm_Lösung.png</t>
  </si>
  <si>
    <t>4.4</t>
  </si>
  <si>
    <t>Ich kann zu Anwendungsfällen User Stories formulieren.</t>
  </si>
  <si>
    <t>5.1</t>
  </si>
  <si>
    <t>Anwendungsfälle und Abläufe mit UML modellieren</t>
  </si>
  <si>
    <t>Ich kann aus Anforderungen ein UML-Anwendungsfalldiagramm mit Akteuren, Generalisierung sowie include- und extend-Beziehungen erstellen.</t>
  </si>
  <si>
    <t>T2 FIA 25W 1 2a, T2 FIA 24S 1 3a, T2 FIA 21W 1 2a</t>
  </si>
  <si>
    <t>T2: Häufigkeit 30 %, Punktgewicht 18 %</t>
  </si>
  <si>
    <t>05 Anwendungsfälle und Abläufe mit UML modellieren\T2_FIA_25W_1_SoftwarePlanen_2_Gastroapp_1von2.png
05 Anwendungsfälle und Abläufe mit UML modellieren\T2_FIA_25W_1_SoftwarePlanen_2_Gastroapp_2von2.png
05 Anwendungsfälle und Abläufe mit UML modellieren\T2_FIA_25W_1_SoftwarePlanen_2_Gastroapp_Lösung.png</t>
  </si>
  <si>
    <t>5.2</t>
  </si>
  <si>
    <t>Ich kann einen Geschäftsprozess oder Programmablauf als UML-Aktivitätsdiagramm mit Verzweigungen und Parallelität erstellen.</t>
  </si>
  <si>
    <t>T2 FIA 26S 1 2a, T2 FIA 23W 1 2c, T2 FIA 22W 1 4a, T2 FIA 21W 2 1a</t>
  </si>
  <si>
    <t>T2: Häufigkeit 39 %, Punktgewicht 16 %</t>
  </si>
  <si>
    <t>05 Anwendungsfälle und Abläufe mit UML modellieren\T2_FIA_26S_1_SoftwarePlanen_2_Landwirtschaft_1von2.png
05 Anwendungsfälle und Abläufe mit UML modellieren\T2_FIA_26S_1_SoftwarePlanen_2_Landwirtschaft_2von2.png
05 Anwendungsfälle und Abläufe mit UML modellieren\T2_FIA_26S_1_SoftwarePlanen_2_Landwirtschaft_Lösung_1von2.png
05 Anwendungsfälle und Abläufe mit UML modellieren\T2_FIA_26S_1_SoftwarePlanen_2_Landwirtschaft_Lösung_2von2.png</t>
  </si>
  <si>
    <t>5.3</t>
  </si>
  <si>
    <t>Ich kann ein angefangenes Aktivitätsdiagramm mit Schwimmbahnen und mehreren Beteiligten vervollständigen.</t>
  </si>
  <si>
    <t>T2 FIA 25S 1 3a, T2 FIA 24S 2 1a, T2 FIA 23S 2 1</t>
  </si>
  <si>
    <t>T2: Häufigkeit 31 %, Punktgewicht 25 %</t>
  </si>
  <si>
    <t>05 Anwendungsfälle und Abläufe mit UML modellieren\T2_FIA_23S_2_Algorithmus_1_Pflanzungsprozess_1von2.png
05 Anwendungsfälle und Abläufe mit UML modellieren\T2_FIA_23S_2_Algorithmus_1_Pflanzungsprozess_2von2.png
05 Anwendungsfälle und Abläufe mit UML modellieren\T2_FIA_23S_2_Algorithmus_1_Pflanzungsprozess_Lösung.png</t>
  </si>
  <si>
    <t>5.4</t>
  </si>
  <si>
    <t>Ich kann Varianten eines Ablaufs vergleichen und eine hinsichtlich ihrer Praxistauglichkeit begründet auswählen.</t>
  </si>
  <si>
    <t>T2: Häufigkeit 8 %, Punktgewicht 4 %</t>
  </si>
  <si>
    <t>05 Anwendungsfälle und Abläufe mit UML modellieren\T2_FIA_21W_2_Algorithmus_1_Arztterminvergabe_1von2.png
05 Anwendungsfälle und Abläufe mit UML modellieren\T2_FIA_21W_2_Algorithmus_1_Arztterminvergabe_2von2.png
05 Anwendungsfälle und Abläufe mit UML modellieren\T2_FIA_21W_2_Algorithmus_1_Arztterminvergabe_Lösung.png</t>
  </si>
  <si>
    <t>6.1</t>
  </si>
  <si>
    <t>Zustände und Interaktionen modellieren</t>
  </si>
  <si>
    <t>Ich kann ein UML-Zustandsdiagramm mit Zuständen, Ereignissen und Bedingungen erstellen oder ergänzen.</t>
  </si>
  <si>
    <t>T2 FIA 25W 2 2, T2 FIA 24W 1 4a, T2 FIA 23S 1 3c, T2 FIA 22W 1 4b</t>
  </si>
  <si>
    <t>T2: Häufigkeit 40 %, Punktgewicht 25 %</t>
  </si>
  <si>
    <t>06 Zustände und Interaktionen modellieren\T2_FIA_24W_1_SoftwarePlanen_4_KVAG_1von2.png
06 Zustände und Interaktionen modellieren\T2_FIA_24W_1_SoftwarePlanen_4_KVAG_2von2.png
06 Zustände und Interaktionen modellieren\T2_FIA_24W_1_SoftwarePlanen_4_KVAG_Lösung.png</t>
  </si>
  <si>
    <t>6.2</t>
  </si>
  <si>
    <t>Ich kann ein UML-Sequenzdiagramm mit Nachrichten, Antworten, Aktivierungsbalken, Schleifen und Alternativen erstellen oder ergänzen.</t>
  </si>
  <si>
    <t>T2 FIA 25S 2 2a, T2 FIA 24S 1 2e, T2 FIA 23W 2 1, T2 FIA 22S 1 3ca</t>
  </si>
  <si>
    <t>06 Zustände und Interaktionen modellieren\T2_FIA_23W_2_Weinernte_1_Sequenzdiagramm.png
06 Zustände und Interaktionen modellieren\T2_FIA_23W_2_Weinernte_1_Sequenzdiagramm_Lösung.png</t>
  </si>
  <si>
    <t>7.1</t>
  </si>
  <si>
    <t>Klassen modellieren</t>
  </si>
  <si>
    <t>Ich kann ein UML-Klassendiagramm mit Attributen, Methoden, Datentypen und Sichtbarkeiten erstellen.</t>
  </si>
  <si>
    <t>T2 FIA 22S 1 3a, T2 FIA 21W 1 3b</t>
  </si>
  <si>
    <t>T2: Häufigkeit 17 %, Punktgewicht 7 %</t>
  </si>
  <si>
    <t>07 Klassen modellieren\T2_FIA_22S_1_SoftwarePlanen_3_Energieversorger_1von4.png
07 Klassen modellieren\T2_FIA_22S_1_SoftwarePlanen_3_Energieversorger_2von4.png
07 Klassen modellieren\T2_FIA_22S_1_SoftwarePlanen_3_Energieversorger_3von4.png
07 Klassen modellieren\T2_FIA_22S_1_SoftwarePlanen_3_Energieversorger_4von4.png
07 Klassen modellieren\T2_FIA_22S_1_SoftwarePlanen_3_Energieversorger_Lösung_1von2.png
07 Klassen modellieren\T2_FIA_22S_1_SoftwarePlanen_3_Energieversorger_Lösung_2von2.png</t>
  </si>
  <si>
    <t>7.2</t>
  </si>
  <si>
    <t>Ich kann ein Klassendiagramm mit abstrakten Klassen, Vererbung und Aggregation zeichnen oder aus Fachanforderungen ergänzen.</t>
  </si>
  <si>
    <t>T2 FIA 26S 2 2a, T2 FIA 25S 1 4c, T2 FIA 24W 1 3a, T2 FIA 23S 1 2bb</t>
  </si>
  <si>
    <t>T2: Häufigkeit 42 %, Punktgewicht 17 %</t>
  </si>
  <si>
    <t>07 Klassen modellieren\T2_FIA_26S_2_Algorithmus_2_Landwirtschaft_1von2.png
07 Klassen modellieren\T2_FIA_26S_2_Algorithmus_2_Landwirtschaft_2von2.png
07 Klassen modellieren\T2_FIA_26S_2_Algorithmus_2_Landwirtschaft_Lösung.png</t>
  </si>
  <si>
    <t>7.3</t>
  </si>
  <si>
    <t>Ich kann Aggregation und Komposition unterscheiden, ihre Eignung beurteilen und Multiplizitäten wie 1..* und * erläutern.</t>
  </si>
  <si>
    <t>T2 FIA 24W 1 3ba, T2 FIA 24W 1 3bb, T2 FIA 24W 1 3bc</t>
  </si>
  <si>
    <t>07 Klassen modellieren\T2_FIA_24W_1_SoftwarePlanen_3_KVAG_1von2.png
07 Klassen modellieren\T2_FIA_24W_1_SoftwarePlanen_3_KVAG_2von2.png
07 Klassen modellieren\T2_FIA_24W_1_SoftwarePlanen_3_KVAG_Lösung.png</t>
  </si>
  <si>
    <t>8.1</t>
  </si>
  <si>
    <t>Objektorientiert programmieren</t>
  </si>
  <si>
    <t>Ich kann den Begriff Polymorphie und die späte Bindung zur Laufzeit erklären.</t>
  </si>
  <si>
    <t>T2 FIA 26S 2 2bb, T2 FIA 23S 1 2ba</t>
  </si>
  <si>
    <t>T2: Häufigkeit 21 %, Punktgewicht 4 %</t>
  </si>
  <si>
    <t>08 Objektorientiert programmieren\T2_FIA_23S_1_SoftwarePlanen_2_Besuchertypen_1von4.png
08 Objektorientiert programmieren\T2_FIA_23S_1_SoftwarePlanen_2_Besuchertypen_2von4.png
08 Objektorientiert programmieren\T2_FIA_23S_1_SoftwarePlanen_2_Besuchertypen_3von4.png
08 Objektorientiert programmieren\T2_FIA_23S_1_SoftwarePlanen_2_Besuchertypen_4von4.png
08 Objektorientiert programmieren\T2_FIA_23S_1_SoftwarePlanen_2_Besuchertypen_Lösung_1von2.png
08 Objektorientiert programmieren\T2_FIA_23S_1_SoftwarePlanen_2_Besuchertypen_Lösung_2von2.png</t>
  </si>
  <si>
    <t>8.2</t>
  </si>
  <si>
    <t>Ich kann überschreibende Methoden implementieren und polymorphe Objekte in einer Methode verarbeiten.</t>
  </si>
  <si>
    <t>T2 FIA 26S 2 2ba, T2 FIA 23S 1 2bd</t>
  </si>
  <si>
    <t>8.3</t>
  </si>
  <si>
    <t>Ich kann Merkmale abstrakter Klassen im Vergleich zu Interfaces und gewöhnlichen Klassen erläutern.</t>
  </si>
  <si>
    <t>08 Objektorientiert programmieren\T2_FIA_25S_1_SoftwarePlanen_4_Etikettendruck_1von3.png
08 Objektorientiert programmieren\T2_FIA_25S_1_SoftwarePlanen_4_Etikettendruck_2von3.png
08 Objektorientiert programmieren\T2_FIA_25S_1_SoftwarePlanen_4_Etikettendruck_3von3.png
08 Objektorientiert programmieren\T2_FIA_25S_1_SoftwarePlanen_4_Etikettendruck_Lösung.png</t>
  </si>
  <si>
    <t>8.4</t>
  </si>
  <si>
    <t>Ich kann die Realisierung eines Interfaces im Klassendiagramm ergänzen und die Art der Beziehung begründen.</t>
  </si>
  <si>
    <t>T2 FIA 22S 1 3ba, T2 FIA 22S 1 3bc</t>
  </si>
  <si>
    <t>T2: Häufigkeit 9 %, Punktgewicht 8 %</t>
  </si>
  <si>
    <t>08 Objektorientiert programmieren\T2_FIA_22S_1_SoftwarePlanen_3_Energieversorger_1von4.png
08 Objektorientiert programmieren\T2_FIA_22S_1_SoftwarePlanen_3_Energieversorger_2von4.png
08 Objektorientiert programmieren\T2_FIA_22S_1_SoftwarePlanen_3_Energieversorger_3von4.png
08 Objektorientiert programmieren\T2_FIA_22S_1_SoftwarePlanen_3_Energieversorger_4von4.png
08 Objektorientiert programmieren\T2_FIA_22S_1_SoftwarePlanen_3_Energieversorger_Lösung_1von2.png
08 Objektorientiert programmieren\T2_FIA_22S_1_SoftwarePlanen_3_Energieversorger_Lösung_2von2.png</t>
  </si>
  <si>
    <t>8.5</t>
  </si>
  <si>
    <t>Ich kann den Begriff generische Klasse erläutern.</t>
  </si>
  <si>
    <t>T2: Häufigkeit 9 %, Punktgewicht 3 %</t>
  </si>
  <si>
    <t>08 Objektorientiert programmieren\T2_FIA_22W_2_Algorithmus_1_Raumbuchung_1von3.png
08 Objektorientiert programmieren\T2_FIA_22W_2_Algorithmus_1_Raumbuchung_2von3.png
08 Objektorientiert programmieren\T2_FIA_22W_2_Algorithmus_1_Raumbuchung_3von3.png
08 Objektorientiert programmieren\T2_FIA_22W_2_Algorithmus_1_Raumbuchung_Lösung.png</t>
  </si>
  <si>
    <t>9.1</t>
  </si>
  <si>
    <t>Entwurfsmuster einsetzen</t>
  </si>
  <si>
    <t>Ich kann Vorteile von Entwurfsmustern beschreiben und Beispiele für Erzeugungs- und Verhaltensmuster nennen.</t>
  </si>
  <si>
    <t>T2 FIA 25S 1 4d, T2 FIA 24W 1 4ba, T2 FIA 24W 1 4bb</t>
  </si>
  <si>
    <t>T2: Häufigkeit 21 %, Punktgewicht 6 %</t>
  </si>
  <si>
    <t>09 Entwurfsmuster einsetzen\T2_FIA_24W_1_SoftwarePlanen_4_KVAG_1von2.png
09 Entwurfsmuster einsetzen\T2_FIA_24W_1_SoftwarePlanen_4_KVAG_2von2.png
09 Entwurfsmuster einsetzen\T2_FIA_24W_1_SoftwarePlanen_4_KVAG_Lösung.png</t>
  </si>
  <si>
    <t>9.2</t>
  </si>
  <si>
    <t>Ich kann für eine Aufgabenstellung ein geeignetes Entwurfsmuster nennen und begründen.</t>
  </si>
  <si>
    <t>T2: Häufigkeit 11 %, Punktgewicht 4 %</t>
  </si>
  <si>
    <t>9.3</t>
  </si>
  <si>
    <t>Ich kann das Observer-Muster umsetzen und Methoden wie notifyObservers implementieren.</t>
  </si>
  <si>
    <t>T2 FIA 22S 1 3bb, T2 FIA 22S 1 3cb</t>
  </si>
  <si>
    <t>T2: Häufigkeit 9 %, Punktgewicht 6 %</t>
  </si>
  <si>
    <t>09 Entwurfsmuster einsetzen\T2_FIA_22S_1_SoftwarePlanen_3_Energieversorger_1von4.png
09 Entwurfsmuster einsetzen\T2_FIA_22S_1_SoftwarePlanen_3_Energieversorger_2von4.png
09 Entwurfsmuster einsetzen\T2_FIA_22S_1_SoftwarePlanen_3_Energieversorger_3von4.png
09 Entwurfsmuster einsetzen\T2_FIA_22S_1_SoftwarePlanen_3_Energieversorger_4von4.png
09 Entwurfsmuster einsetzen\T2_FIA_22S_1_SoftwarePlanen_3_Energieversorger_Lösung_1von2.png
09 Entwurfsmuster einsetzen\T2_FIA_22S_1_SoftwarePlanen_3_Energieversorger_Lösung_2von2.png</t>
  </si>
  <si>
    <t>9.4</t>
  </si>
  <si>
    <t>Ich kann Aspekte und Einschränkungen des Musters Factory Method erläutern und eine Fabrikmethode implementieren.</t>
  </si>
  <si>
    <t>T2 FIA 25S 1 4aa, T2 FIA 25S 1 4ab, T2 FIA 23S 1 2bc</t>
  </si>
  <si>
    <t>T2: Häufigkeit 20 %, Punktgewicht 9 %</t>
  </si>
  <si>
    <t>09 Entwurfsmuster einsetzen\T2_FIA_23S_1_SoftwarePlanen_2_Besuchertypen_1von4.png
09 Entwurfsmuster einsetzen\T2_FIA_23S_1_SoftwarePlanen_2_Besuchertypen_2von4.png
09 Entwurfsmuster einsetzen\T2_FIA_23S_1_SoftwarePlanen_2_Besuchertypen_3von4.png
09 Entwurfsmuster einsetzen\T2_FIA_23S_1_SoftwarePlanen_2_Besuchertypen_4von4.png
09 Entwurfsmuster einsetzen\T2_FIA_23S_1_SoftwarePlanen_2_Besuchertypen_Lösung_1von2.png
09 Entwurfsmuster einsetzen\T2_FIA_23S_1_SoftwarePlanen_2_Besuchertypen_Lösung_2von2.png</t>
  </si>
  <si>
    <t>10.1</t>
  </si>
  <si>
    <t>Algorithmen entwickeln</t>
  </si>
  <si>
    <t>Ich kann einen Algorithmus in Pseudocode entwickeln, der ein zweidimensionales Array auswertet (z. B. Minimum, Maximum, Zählungen).</t>
  </si>
  <si>
    <t>T2 FIA 23S 2 2, T2 FIA 22S 2 1, T2 FIA 21W 2 2</t>
  </si>
  <si>
    <t>T2: Häufigkeit 27 %, Punktgewicht 30 %</t>
  </si>
  <si>
    <t>10 Algorithmen entwickeln\T2_FIA_22S_2_Algorithmus_1_Energieversorger.png
10 Algorithmen entwickeln\T2_FIA_22S_2_Algorithmus_1_Energieversorger_Lösung.png</t>
  </si>
  <si>
    <t>10.2</t>
  </si>
  <si>
    <t>Ich kann Funktionen entwickeln, die Listen von Objekten nach mehreren Bedingungen filtern, zählen und Kennwerte berechnen.</t>
  </si>
  <si>
    <t>T2 FIA 26S 2 1a, T2 FIA 26S 2 1b, T2 FIA 25W 2 1a, T2 FIA 25S 2 1, T2 FIA 24W 2 1, T2 FIA 24S 2 2b</t>
  </si>
  <si>
    <t>T2: Häufigkeit 54 %, Punktgewicht 30 %</t>
  </si>
  <si>
    <t>10 Algorithmen entwickeln\T2_FIA_25S_2_Algorithmus_1_Bettenauslastung_1von2.png
10 Algorithmen entwickeln\T2_FIA_25S_2_Algorithmus_1_Bettenauslastung_2von2.png
10 Algorithmen entwickeln\T2_FIA_25S_2_Algorithmus_1_Bettenauslastung_Lösung.png</t>
  </si>
  <si>
    <t>10.3</t>
  </si>
  <si>
    <t>Ich kann aus einer Liste das Objekt mit der kleinsten Abweichung auswählen und Sonderfälle wie eine leere Liste behandeln.</t>
  </si>
  <si>
    <t>T2: Häufigkeit 11 %, Punktgewicht 10 %</t>
  </si>
  <si>
    <t>10 Algorithmen entwickeln\T2_FIA_25W_2_Algorithmus_1_Gastroapp_1von3.png
10 Algorithmen entwickeln\T2_FIA_25W_2_Algorithmus_1_Gastroapp_2von3.png
10 Algorithmen entwickeln\T2_FIA_25W_2_Algorithmus_1_Gastroapp_3von3.png
10 Algorithmen entwickeln\T2_FIA_25W_2_Algorithmus_1_Gastroapp_Lösung.png</t>
  </si>
  <si>
    <t>10.4</t>
  </si>
  <si>
    <t>Ich kann Methoden einer Fachklasse auf Basis von Listen in Pseudocode implementieren.</t>
  </si>
  <si>
    <t>T2 FIA 24S 1 3ba, T2 FIA 24S 1 3bb, T2 FIA 24S 1 3bc</t>
  </si>
  <si>
    <t>T2: Häufigkeit 10 %, Punktgewicht 15 %</t>
  </si>
  <si>
    <t>10 Algorithmen entwickeln\T2_FIA_24S_1_SoftwarePlanen_3_Aktionaersversammlung_1von3.png
10 Algorithmen entwickeln\T2_FIA_24S_1_SoftwarePlanen_3_Aktionaersversammlung_2von3.png
10 Algorithmen entwickeln\T2_FIA_24S_1_SoftwarePlanen_3_Aktionaersversammlung_3von3.png
10 Algorithmen entwickeln\T2_FIA_24S_1_SoftwarePlanen_3_Aktionaersversammlung_Lösung_1von2.png
10 Algorithmen entwickeln\T2_FIA_24S_1_SoftwarePlanen_3_Aktionaersversammlung_Lösung_2von2.png</t>
  </si>
  <si>
    <t>10.5</t>
  </si>
  <si>
    <t>Ich kann einen vorgegebenen Pseudocode für einen Optimierungsalgorithmus (z. B. Nearest Neighbor) vervollständigen.</t>
  </si>
  <si>
    <t>T2: Häufigkeit 10 %, Punktgewicht 25 %</t>
  </si>
  <si>
    <t>10 Algorithmen entwickeln\T2_FIA_23W_2_Drohnenflug_2_Pseudocode.png
10 Algorithmen entwickeln\T2_FIA_23W_2_Drohnenflug_2_Pseudocode_Lösung.png</t>
  </si>
  <si>
    <t>10.6</t>
  </si>
  <si>
    <t>Ich kann einen Sortieralgorithmus mit Vergleichsfunktion für Objekte erstellen und auf generische Parameter umstellen.</t>
  </si>
  <si>
    <t>T2 FIA 24S 2 2a, T2 FIA 22W 2 1a, T2 FIA 22W 2 1b, T2 FIA 22W 2 1d</t>
  </si>
  <si>
    <t>T2: Häufigkeit 19 %, Punktgewicht 22 %</t>
  </si>
  <si>
    <t>10 Algorithmen entwickeln\T2_FIA_24S_2_Algorithmus_2_Aktienkurse_1von3.png
10 Algorithmen entwickeln\T2_FIA_24S_2_Algorithmus_2_Aktienkurse_2von3.png
10 Algorithmen entwickeln\T2_FIA_24S_2_Algorithmus_2_Aktienkurse_3von3.png
10 Algorithmen entwickeln\T2_FIA_24S_2_Algorithmus_2_Aktienkurse_Lösung.png</t>
  </si>
  <si>
    <t>10.7</t>
  </si>
  <si>
    <t>Ich kann Fehler in einem rekursiven Algorithmus beschreiben und Vor- und Nachteile rekursiver und iterativer Lösungen vergleichen.</t>
  </si>
  <si>
    <t>T2 FIA 22W 2 2ab, T2 FIA 22W 2 2b</t>
  </si>
  <si>
    <t>10 Algorithmen entwickeln\T2_FIA_22W_2_Algorithmus_2_Raumbuchung_1von2.png
10 Algorithmen entwickeln\T2_FIA_22W_2_Algorithmus_2_Raumbuchung_2von2.png
10 Algorithmen entwickeln\T2_FIA_22W_2_Algorithmus_2_Raumbuchung_Lösung.png</t>
  </si>
  <si>
    <t>10.8</t>
  </si>
  <si>
    <t>Ich kann einen iterativen Algorithmus (z. B. eine Zahlensystem-Umrechnung) erstellen.</t>
  </si>
  <si>
    <t>T2: Häufigkeit 9 %, Punktgewicht 10 %</t>
  </si>
  <si>
    <t>11.1</t>
  </si>
  <si>
    <t>Software testen</t>
  </si>
  <si>
    <t>Ich kann beschreiben, was ein Unit-Test ist, wozu er verwendet wird und welche Eigenschaften er hat.</t>
  </si>
  <si>
    <t>T2 FIA 25W 2 3aa, T2 FIA 22S 2 2aa, T2 FIA 22S 2 2ab</t>
  </si>
  <si>
    <t>T2: Häufigkeit 20 %, Punktgewicht 7 %</t>
  </si>
  <si>
    <t>11 Software testen\T2_FIA_25W_2_Algorithmus_3_Gastroapp_1von2.png
11 Software testen\T2_FIA_25W_2_Algorithmus_3_Gastroapp_2von2.png
11 Software testen\T2_FIA_25W_2_Algorithmus_3_Gastroapp_Lösung.png</t>
  </si>
  <si>
    <t>11.2</t>
  </si>
  <si>
    <t>Ich kann eine Funktion mit Testfällen testen, erwartetes und tatsächliches Ergebnis vergleichen und den Code korrigieren.</t>
  </si>
  <si>
    <t>T2 FIA 25W 2 3ba, T2 FIA 25W 2 3bb, T2 FIA 22S 2 2ba, T2 FIA 22S 2 2bb</t>
  </si>
  <si>
    <t>T2: Häufigkeit 20 %, Punktgewicht 14 %</t>
  </si>
  <si>
    <t>11.3</t>
  </si>
  <si>
    <t>Ich kann Testdaten aus Äquivalenzklassen angeben und Testdaten begründet anpassen.</t>
  </si>
  <si>
    <t>T2 FIA 23S 2 3bc, T2 FIA 22S 2 2bc</t>
  </si>
  <si>
    <t>T2: Häufigkeit 18 %, Punktgewicht 4 %</t>
  </si>
  <si>
    <t>11 Software testen\T2_FIA_23S_2_Algorithmus_3_Monatsticketstatistik_1von4.png
11 Software testen\T2_FIA_23S_2_Algorithmus_3_Monatsticketstatistik_2von4.png
11 Software testen\T2_FIA_23S_2_Algorithmus_3_Monatsticketstatistik_3von4.png
11 Software testen\T2_FIA_23S_2_Algorithmus_3_Monatsticketstatistik_4von4.png
11 Software testen\T2_FIA_23S_2_Algorithmus_3_Monatsticketstatistik_Lösung_1von3.png
11 Software testen\T2_FIA_23S_2_Algorithmus_3_Monatsticketstatistik_Lösung_2von3.png
11 Software testen\T2_FIA_23S_2_Algorithmus_3_Monatsticketstatistik_Lösung_3von3.png</t>
  </si>
  <si>
    <t>11.4</t>
  </si>
  <si>
    <t>Ich kann einen Schreibtischtest für einen Algorithmus ausführen.</t>
  </si>
  <si>
    <t>11 Software testen\T2_FIA_22W_2_Algorithmus_2_Raumbuchung_1von2.png
11 Software testen\T2_FIA_22W_2_Algorithmus_2_Raumbuchung_2von2.png
11 Software testen\T2_FIA_22W_2_Algorithmus_2_Raumbuchung_Lösung.png</t>
  </si>
  <si>
    <t>11.5</t>
  </si>
  <si>
    <t>Ich kann Fehler in vorgegebenem Code finden und Vorschläge zur Änderung und Erweiterung machen.</t>
  </si>
  <si>
    <t>T2 FIA 23S 2 3aa, T2 FIA 23S 2 3ab</t>
  </si>
  <si>
    <t>T2: Häufigkeit 9 %, Punktgewicht 15 %</t>
  </si>
  <si>
    <t>11.6</t>
  </si>
  <si>
    <t>Ich kann eine geeignete Behandlung ungültiger Eingaben (z. B. nur Leerzeichen) beschreiben.</t>
  </si>
  <si>
    <t>T2: Häufigkeit 11 %, Punktgewicht 2 %</t>
  </si>
  <si>
    <t>11 Software testen\T2_FIA_25S_2_Algorithmus_2_Medikationsplan_1von3.png
11 Software testen\T2_FIA_25S_2_Algorithmus_2_Medikationsplan_2von3.png
11 Software testen\T2_FIA_25S_2_Algorithmus_2_Medikationsplan_3von3.png
11 Software testen\T2_FIA_25S_2_Algorithmus_2_Medikationsplan_Lösung_1von2.png
11 Software testen\T2_FIA_25S_2_Algorithmus_2_Medikationsplan_Lösung_2von2.png</t>
  </si>
  <si>
    <t>11.7</t>
  </si>
  <si>
    <t>Ich kann Black-Box- und White-Box-Tests beschreiben und Vorteile von White-Box-Tests nennen.</t>
  </si>
  <si>
    <t>T2 FIA 25S 2 2bb, T2 FIA 24S 2 3aa, T2 FIA 21W 1 4d</t>
  </si>
  <si>
    <t>T2: Häufigkeit 29 %, Punktgewicht 4 %</t>
  </si>
  <si>
    <t>11 Software testen\T2_FIA_24S_2_Algorithmus_3_Testverfahren_1von3.png
11 Software testen\T2_FIA_24S_2_Algorithmus_3_Testverfahren_2von3.png
11 Software testen\T2_FIA_24S_2_Algorithmus_3_Testverfahren_3von3.png
11 Software testen\T2_FIA_24S_2_Algorithmus_3_Testverfahren_Lösung.png</t>
  </si>
  <si>
    <t>11.8</t>
  </si>
  <si>
    <t>Ich kann den Zweck von Regressionstests erläutern und Inhalte eines Testkonzepts beschreiben.</t>
  </si>
  <si>
    <t>T2 FIA 24S 2 3ab, T2 FIA 23W 1 1d</t>
  </si>
  <si>
    <t>T2: Häufigkeit 20 %, Punktgewicht 6 %</t>
  </si>
  <si>
    <t>11 Software testen\T2_FIA_23W_1_AMAGSoft_1_StakeholderWorkshopGreenITTestkonzept.png
11 Software testen\T2_FIA_23W_1_AMAGSoft_1_StakeholderWorkshopGreenITTestkonzept_Lösung.png</t>
  </si>
  <si>
    <t>12.1</t>
  </si>
  <si>
    <t>Testüberdeckung bestimmen</t>
  </si>
  <si>
    <t>Ich kann Anweisungs-, Zweig- und Pfadüberdeckung erläutern und eine geeignete Überdeckungsart begründet auswählen.</t>
  </si>
  <si>
    <t>T2 FIA 25W 2 3ab, T2 FIA 25S 2 2ba, T2 FIA 24S 2 3b, T2 FIA 23S 2 3ba, T2 FIA 22W 2 2ac</t>
  </si>
  <si>
    <t>T2: Häufigkeit 51 %, Punktgewicht 12 %</t>
  </si>
  <si>
    <t>12 Testüberdeckung bestimmen\T2_FIA_25W_2_Algorithmus_3_Gastroapp_1von2.png
12 Testüberdeckung bestimmen\T2_FIA_25W_2_Algorithmus_3_Gastroapp_2von2.png
12 Testüberdeckung bestimmen\T2_FIA_25W_2_Algorithmus_3_Gastroapp_Lösung.png</t>
  </si>
  <si>
    <t>12.2</t>
  </si>
  <si>
    <t>Ich kann für gegebene Testdaten nicht durchlaufene Anweisungen und die Mindestanzahl an Testfällen bestimmen.</t>
  </si>
  <si>
    <t>T2 FIA 23S 2 3bb, T2 FIA 22W 2 2ac</t>
  </si>
  <si>
    <t>T2: Häufigkeit 19 %, Punktgewicht 4 %</t>
  </si>
  <si>
    <t>12 Testüberdeckung bestimmen\T2_FIA_23S_2_Algorithmus_3_Monatsticketstatistik_1von4.png
12 Testüberdeckung bestimmen\T2_FIA_23S_2_Algorithmus_3_Monatsticketstatistik_2von4.png
12 Testüberdeckung bestimmen\T2_FIA_23S_2_Algorithmus_3_Monatsticketstatistik_3von4.png
12 Testüberdeckung bestimmen\T2_FIA_23S_2_Algorithmus_3_Monatsticketstatistik_4von4.png
12 Testüberdeckung bestimmen\T2_FIA_23S_2_Algorithmus_3_Monatsticketstatistik_Lösung_1von3.png
12 Testüberdeckung bestimmen\T2_FIA_23S_2_Algorithmus_3_Monatsticketstatistik_Lösung_2von3.png
12 Testüberdeckung bestimmen\T2_FIA_23S_2_Algorithmus_3_Monatsticketstatistik_Lösung_3von3.png</t>
  </si>
  <si>
    <t>12.3</t>
  </si>
  <si>
    <t>Ich kann die Pfade für eine vollständige Pfadüberdeckung notieren.</t>
  </si>
  <si>
    <t>T2: Häufigkeit 10 %, Punktgewicht 5 %</t>
  </si>
  <si>
    <t>12 Testüberdeckung bestimmen\T2_FIA_24S_2_Algorithmus_3_Testverfahren_1von3.png
12 Testüberdeckung bestimmen\T2_FIA_24S_2_Algorithmus_3_Testverfahren_2von3.png
12 Testüberdeckung bestimmen\T2_FIA_24S_2_Algorithmus_3_Testverfahren_3von3.png
12 Testüberdeckung bestimmen\T2_FIA_24S_2_Algorithmus_3_Testverfahren_Lösung.png</t>
  </si>
  <si>
    <t>13.1</t>
  </si>
  <si>
    <t>Softwarequalität sichern</t>
  </si>
  <si>
    <t>Ich kann Qualitätsmerkmale nach ISO/IEC 25010 (z. B. Effizienz, Änderbarkeit, Zuverlässigkeit) nennen und erläutern.</t>
  </si>
  <si>
    <t>T2 FIA 26S 1 4a, T2 FIA 23S 1 2a, T2 FIA 21W 1 4ca</t>
  </si>
  <si>
    <t>T2: Häufigkeit 29 %, Punktgewicht 5 %</t>
  </si>
  <si>
    <t>13 Softwarequalität sichern\T2_FIA_26S_1_SoftwarePlanen_4_Landwirtschaft_1von3.png
13 Softwarequalität sichern\T2_FIA_26S_1_SoftwarePlanen_4_Landwirtschaft_2von3.png
13 Softwarequalität sichern\T2_FIA_26S_1_SoftwarePlanen_4_Landwirtschaft_3von3.png
13 Softwarequalität sichern\T2_FIA_26S_1_SoftwarePlanen_4_Landwirtschaft_Lösung.png</t>
  </si>
  <si>
    <t>13.2</t>
  </si>
  <si>
    <t>Ich kann qualitätssichernde Maßnahmen bei der Softwareentwicklung beschreiben.</t>
  </si>
  <si>
    <t>T2 FIA 24S 1 1b, T2 FIA 23S 1 1e</t>
  </si>
  <si>
    <t>13 Softwarequalität sichern\T2_FIA_24S_1_SoftwarePlanen_1_EServicePlattform_1von2.png
13 Softwarequalität sichern\T2_FIA_24S_1_SoftwarePlanen_1_EServicePlattform_2von2.png
13 Softwarequalität sichern\T2_FIA_24S_1_SoftwarePlanen_1_EServicePlattform_Lösung.png</t>
  </si>
  <si>
    <t>13.3</t>
  </si>
  <si>
    <t>Ich kann zum ausschließlichen Einsatz automatischer Code-Reviews und Unit-Tests Stellung nehmen.</t>
  </si>
  <si>
    <t>T2: Häufigkeit 8 %, Punktgewicht 5 %</t>
  </si>
  <si>
    <t>13 Softwarequalität sichern\T2_FIA_21W_1_SoftwarePlanen_4_Arztterminvergabe_1von2.png
13 Softwarequalität sichern\T2_FIA_21W_1_SoftwarePlanen_4_Arztterminvergabe_2von2.png
13 Softwarequalität sichern\T2_FIA_21W_1_SoftwarePlanen_4_Arztterminvergabe_Lösung.png</t>
  </si>
  <si>
    <t>13.4</t>
  </si>
  <si>
    <t>Ich kann Möglichkeiten nennen, die Konformität einer Implementierung mit einer Spezifikation sicherzustellen, und den Einsatz von Online-Validatoren beurteilen.</t>
  </si>
  <si>
    <t>T2 FIA 25W 1 3ba, T2 FIA 25W 1 3bb</t>
  </si>
  <si>
    <t>T2: Häufigkeit 11 %, Punktgewicht 9 %</t>
  </si>
  <si>
    <t>13 Softwarequalität sichern\T2_FIA_25W_1_SoftwarePlanen_3_Gastroapp_1von2.png
13 Softwarequalität sichern\T2_FIA_25W_1_SoftwarePlanen_3_Gastroapp_2von2.png
13 Softwarequalität sichern\T2_FIA_25W_1_SoftwarePlanen_3_Gastroapp_Lösung.png</t>
  </si>
  <si>
    <t>13.5</t>
  </si>
  <si>
    <t>Ich kann erklären, wie Prototyping zur Aufwandsschätzung und in der Konzeption eingesetzt wird.</t>
  </si>
  <si>
    <t>14.1</t>
  </si>
  <si>
    <t>Im Team entwickeln und bereitstellen</t>
  </si>
  <si>
    <t>Ich kann den Einsatz einer Versionsverwaltung im Entwicklerteam fachlich begründen.</t>
  </si>
  <si>
    <t>14 Im Team entwickeln und bereitstellen\T2_FIA_21W_1_SoftwarePlanen_1_Arztterminvergabe_1von2.png
14 Im Team entwickeln und bereitstellen\T2_FIA_21W_1_SoftwarePlanen_1_Arztterminvergabe_2von2.png
14 Im Team entwickeln und bereitstellen\T2_FIA_21W_1_SoftwarePlanen_1_Arztterminvergabe_Lösung.png</t>
  </si>
  <si>
    <t>14.2</t>
  </si>
  <si>
    <t>Ich kann Vor- und Nachteile einer Klassenbibliothek beschreiben und Aspekte der Dokumentation einer Bibliothekserweiterung nennen.</t>
  </si>
  <si>
    <t>T2 FIA 21W 1 1ba, T2 FIA 21W 1 1bb</t>
  </si>
  <si>
    <t>T2: Häufigkeit 8 %, Punktgewicht 10 %</t>
  </si>
  <si>
    <t>14.3</t>
  </si>
  <si>
    <t>Ich kann den Begriff Open Source erläutern, Lizenzbedingungen beachten und Vor- und Nachteile von Open-Source-Bibliotheken beschreiben.</t>
  </si>
  <si>
    <t>T2 FIA 22W 1 2ca, T2 FIA 22W 1 2cb, T2 FIA 22W 1 2cc</t>
  </si>
  <si>
    <t>T2: Häufigkeit 9 %, Punktgewicht 9 %</t>
  </si>
  <si>
    <t>14 Im Team entwickeln und bereitstellen\T2_FIA_22W_1_SoftwarePlanen_2_Raumbuchung_1von2.png
14 Im Team entwickeln und bereitstellen\T2_FIA_22W_1_SoftwarePlanen_2_Raumbuchung_2von2.png
14 Im Team entwickeln und bereitstellen\T2_FIA_22W_1_SoftwarePlanen_2_Raumbuchung_Lösung.png</t>
  </si>
  <si>
    <t>14.4</t>
  </si>
  <si>
    <t>Ich kann die automatisierte Kompilierung und Bereitstellung (CI/CD) beschreiben und ihre Vorteile nennen.</t>
  </si>
  <si>
    <t>T2 FIA 22W 1 1ca, T2 FIA 22W 1 1cb</t>
  </si>
  <si>
    <t>14 Im Team entwickeln und bereitstellen\T2_FIA_22W_1_SoftwarePlanen_1_Raumbuchung_1von2.png
14 Im Team entwickeln und bereitstellen\T2_FIA_22W_1_SoftwarePlanen_1_Raumbuchung_2von2.png
14 Im Team entwickeln und bereitstellen\T2_FIA_22W_1_SoftwarePlanen_1_Raumbuchung_Lösung.png</t>
  </si>
  <si>
    <t>14.5</t>
  </si>
  <si>
    <t>Ich kann Warnungen zu nicht vertrauenswürdigen Quellen bei signierter Software deuten und über Kompilierungseinstellungen beheben.</t>
  </si>
  <si>
    <t>T2 FIA 21W 1 4ba, T2 FIA 21W 1 4bb</t>
  </si>
  <si>
    <t>14 Im Team entwickeln und bereitstellen\T2_FIA_21W_1_SoftwarePlanen_4_Arztterminvergabe_1von2.png
14 Im Team entwickeln und bereitstellen\T2_FIA_21W_1_SoftwarePlanen_4_Arztterminvergabe_2von2.png
14 Im Team entwickeln und bereitstellen\T2_FIA_21W_1_SoftwarePlanen_4_Arztterminvergabe_Lösung.png</t>
  </si>
  <si>
    <t>15.1</t>
  </si>
  <si>
    <t>Benutzeroberflächen gestalten</t>
  </si>
  <si>
    <t>Ich kann Usability und User Experience erläutern und Möglichkeiten zum Test der Benutzerfreundlichkeit beschreiben.</t>
  </si>
  <si>
    <t>T2 FIA 21W 1 3aa, T2 FIA 21W 1 3ac</t>
  </si>
  <si>
    <t>T2: Häufigkeit 8 %, Punktgewicht 12 %</t>
  </si>
  <si>
    <t>15 Benutzeroberflächen gestalten\T2_FIA_21W_1_SoftwarePlanen_3_Arztterminvergabe_1von2.png
15 Benutzeroberflächen gestalten\T2_FIA_21W_1_SoftwarePlanen_3_Arztterminvergabe_2von2.png
15 Benutzeroberflächen gestalten\T2_FIA_21W_1_SoftwarePlanen_3_Arztterminvergabe_Lösung.png</t>
  </si>
  <si>
    <t>15.2</t>
  </si>
  <si>
    <t>Ich kann Gestaltungselemente für Benutzerschnittstellen ihrem Zweck zuordnen und Mängel einer Oberfläche aus UI/UX-Sicht beschreiben.</t>
  </si>
  <si>
    <t>T2 FIA 24S 1 4ba, T2 FIA 22W 1 3a</t>
  </si>
  <si>
    <t>T2: Häufigkeit 19 %, Punktgewicht 6 %</t>
  </si>
  <si>
    <t>15 Benutzeroberflächen gestalten\T2_FIA_24S_1_SoftwarePlanen_4_VirtuelleVersammlung_1von3.png
15 Benutzeroberflächen gestalten\T2_FIA_24S_1_SoftwarePlanen_4_VirtuelleVersammlung_2von3.png
15 Benutzeroberflächen gestalten\T2_FIA_24S_1_SoftwarePlanen_4_VirtuelleVersammlung_3von3.png
15 Benutzeroberflächen gestalten\T2_FIA_24S_1_SoftwarePlanen_4_VirtuelleVersammlung_Lösung_1von2.png
15 Benutzeroberflächen gestalten\T2_FIA_24S_1_SoftwarePlanen_4_VirtuelleVersammlung_Lösung_2von2.png</t>
  </si>
  <si>
    <t>15.3</t>
  </si>
  <si>
    <t>Ich kann Barrierefreiheit erläutern sowie Anforderungen und Maßnahmen für inklusives Design (Schrift, Farbe) beschreiben.</t>
  </si>
  <si>
    <t>T2 FIA 26S 1 4b, T2 FIA 22W 1 3b, T2 FIA 21W 1 3ab</t>
  </si>
  <si>
    <t>T2: Häufigkeit 29 %, Punktgewicht 8 %</t>
  </si>
  <si>
    <t>15 Benutzeroberflächen gestalten\T2_FIA_22W_1_SoftwarePlanen_3_Raumbuchung_1von3.png
15 Benutzeroberflächen gestalten\T2_FIA_22W_1_SoftwarePlanen_3_Raumbuchung_2von3.png
15 Benutzeroberflächen gestalten\T2_FIA_22W_1_SoftwarePlanen_3_Raumbuchung_3von3.png
15 Benutzeroberflächen gestalten\T2_FIA_22W_1_SoftwarePlanen_3_Raumbuchung_Lösung.png</t>
  </si>
  <si>
    <t>15.4</t>
  </si>
  <si>
    <t>Ich kann Vorteile von Mockups beschreiben und ein Mockup einer Oberfläche skizzieren oder ergänzen.</t>
  </si>
  <si>
    <t>T2 FIA 26S 1 4ca, T2 FIA 26S 1 4cb, T2 FIA 25S 1 2b, T2 FIA 24S 1 4bb</t>
  </si>
  <si>
    <t>T2: Häufigkeit 33 %, Punktgewicht 10 %</t>
  </si>
  <si>
    <t>15 Benutzeroberflächen gestalten\T2_FIA_25S_1_SoftwarePlanen_2_DigitaleKrankenakte_1von2.png
15 Benutzeroberflächen gestalten\T2_FIA_25S_1_SoftwarePlanen_2_DigitaleKrankenakte_2von2.png
15 Benutzeroberflächen gestalten\T2_FIA_25S_1_SoftwarePlanen_2_DigitaleKrankenakte_Lösung_1von2.png
15 Benutzeroberflächen gestalten\T2_FIA_25S_1_SoftwarePlanen_2_DigitaleKrankenakte_Lösung_2von2.png</t>
  </si>
  <si>
    <t>15.5</t>
  </si>
  <si>
    <t>Ich kann Darstellungsformen für Daten benennen, begründet auswählen und skizzieren.</t>
  </si>
  <si>
    <t>T2 FIA 23W 1 4ba, T2 FIA 23W 1 4bb, T2 FIA 23W 1 4bc</t>
  </si>
  <si>
    <t>T2: Häufigkeit 10 %, Punktgewicht 8 %</t>
  </si>
  <si>
    <t>15 Benutzeroberflächen gestalten\T2_FIA_23W_1_AMAGSoft_4_ERDiagrammBenutzeroberflaeche.png
15 Benutzeroberflächen gestalten\T2_FIA_23W_1_AMAGSoft_4_ERDiagrammBenutzeroberflaeche_Lösung_1von2.png
15 Benutzeroberflächen gestalten\T2_FIA_23W_1_AMAGSoft_4_ERDiagrammBenutzeroberflaeche_Lösung_2von2.png</t>
  </si>
  <si>
    <t>16.1</t>
  </si>
  <si>
    <t>Webanwendungen und REST-Schnittstellen</t>
  </si>
  <si>
    <t>Ich kann Aufbau und Zusammenwirken einer 3-Schichten-Architektur einer Webanwendung beschreiben.</t>
  </si>
  <si>
    <t>16 Webanwendungen und REST-Schnittstellen\T2_FIA_22W_1_SoftwarePlanen_2_Raumbuchung_1von2.png
16 Webanwendungen und REST-Schnittstellen\T2_FIA_22W_1_SoftwarePlanen_2_Raumbuchung_2von2.png
16 Webanwendungen und REST-Schnittstellen\T2_FIA_22W_1_SoftwarePlanen_2_Raumbuchung_Lösung.png</t>
  </si>
  <si>
    <t>16.2</t>
  </si>
  <si>
    <t>Ich kann das Konzept einer REST-API erläutern und die Parameter einer REST-URL beschreiben.</t>
  </si>
  <si>
    <t>T2 FIA 26S 1 2ba, T2 FIA 26S 1 2bb, T2 FIA 24S 1 2a</t>
  </si>
  <si>
    <t>T2: Häufigkeit 22 %, Punktgewicht 6 %</t>
  </si>
  <si>
    <t>16 Webanwendungen und REST-Schnittstellen\T2_FIA_26S_1_SoftwarePlanen_2_Landwirtschaft_1von2.png
16 Webanwendungen und REST-Schnittstellen\T2_FIA_26S_1_SoftwarePlanen_2_Landwirtschaft_2von2.png
16 Webanwendungen und REST-Schnittstellen\T2_FIA_26S_1_SoftwarePlanen_2_Landwirtschaft_Lösung_1von2.png
16 Webanwendungen und REST-Schnittstellen\T2_FIA_26S_1_SoftwarePlanen_2_Landwirtschaft_Lösung_2von2.png</t>
  </si>
  <si>
    <t>16.3</t>
  </si>
  <si>
    <t>Ich kann CRUD-Operationen den HTTP-Methoden zuordnen und die Bestandteile einer HTTP-Anfrage angeben.</t>
  </si>
  <si>
    <t>T2 FIA 26S 1 2bc, T2 FIA 24S 1 2b, T2 FIA 24S 1 2c</t>
  </si>
  <si>
    <t>T2: Häufigkeit 22 %, Punktgewicht 9 %</t>
  </si>
  <si>
    <t>16.4</t>
  </si>
  <si>
    <t>Ich kann HTTP-Statuscodes (2xx, 4xx, 5xx) deuten und Ursachen für den Fehler 404 beschreiben.</t>
  </si>
  <si>
    <t>T2 FIA 24S 1 2d, T2 FIA 21W 1 3c</t>
  </si>
  <si>
    <t>T2: Häufigkeit 19 %, Punktgewicht 3 %</t>
  </si>
  <si>
    <t>16 Webanwendungen und REST-Schnittstellen\T2_FIA_21W_1_SoftwarePlanen_3_Arztterminvergabe_1von2.png
16 Webanwendungen und REST-Schnittstellen\T2_FIA_21W_1_SoftwarePlanen_3_Arztterminvergabe_2von2.png
16 Webanwendungen und REST-Schnittstellen\T2_FIA_21W_1_SoftwarePlanen_3_Arztterminvergabe_Lösung.png</t>
  </si>
  <si>
    <t>16.5</t>
  </si>
  <si>
    <t>Ich kann Methoden implementieren, die Daten oder strukturierte Fehlerantworten für eine API erzeugen.</t>
  </si>
  <si>
    <t>T2 FIA 24W 2 2a, T2 FIA 24W 2 2b</t>
  </si>
  <si>
    <t>T2: Häufigkeit 11 %, Punktgewicht 25 %</t>
  </si>
  <si>
    <t>16 Webanwendungen und REST-Schnittstellen\T2_FIA_24W_2_Algorithmus_2_KVAG_1von2.png
16 Webanwendungen und REST-Schnittstellen\T2_FIA_24W_2_Algorithmus_2_KVAG_2von2.png
16 Webanwendungen und REST-Schnittstellen\T2_FIA_24W_2_Algorithmus_2_KVAG_Lösung.png</t>
  </si>
  <si>
    <t>17.1</t>
  </si>
  <si>
    <t>Datenaustauschformate nutzen</t>
  </si>
  <si>
    <t>Ich kann den Zweck einer DTD erläutern und die Eigenschaften wohlgeformt und gültig unterscheiden.</t>
  </si>
  <si>
    <t>T2 FIA 22W 1 3ca, T2 FIA 22W 1 3cb</t>
  </si>
  <si>
    <t>17 Datenaustauschformate nutzen\T2_FIA_22W_1_SoftwarePlanen_3_Raumbuchung_1von3.png
17 Datenaustauschformate nutzen\T2_FIA_22W_1_SoftwarePlanen_3_Raumbuchung_2von3.png
17 Datenaustauschformate nutzen\T2_FIA_22W_1_SoftwarePlanen_3_Raumbuchung_3von3.png
17 Datenaustauschformate nutzen\T2_FIA_22W_1_SoftwarePlanen_3_Raumbuchung_Lösung.png</t>
  </si>
  <si>
    <t>17.2</t>
  </si>
  <si>
    <t>Ich kann Fehler in einem XML-Dokument finden und erklären, warum eine XSD-Validierung logische Fehler nicht erkennt.</t>
  </si>
  <si>
    <t>T2 FIA 25W 1 3bc, T2 FIA 22W 1 3cc</t>
  </si>
  <si>
    <t>17 Datenaustauschformate nutzen\T2_FIA_25W_1_SoftwarePlanen_3_Gastroapp_1von2.png
17 Datenaustauschformate nutzen\T2_FIA_25W_1_SoftwarePlanen_3_Gastroapp_2von2.png
17 Datenaustauschformate nutzen\T2_FIA_25W_1_SoftwarePlanen_3_Gastroapp_Lösung.png</t>
  </si>
  <si>
    <t>17.3</t>
  </si>
  <si>
    <t>Ich kann Datensätze aus Tabellen in JSON-Dokumente und -Arrays überführen.</t>
  </si>
  <si>
    <t>T2 FIA 23W 1 3ca, T2 FIA 23W 1 3cb</t>
  </si>
  <si>
    <t>T2: Häufigkeit 10 %, Punktgewicht 14 %</t>
  </si>
  <si>
    <t>17 Datenaustauschformate nutzen\T2_FIA_23W_1_AMAGSoft_3_ACIDDokumentendatenbank.png
17 Datenaustauschformate nutzen\T2_FIA_23W_1_AMAGSoft_3_ACIDDokumentendatenbank_Lösung_1von2.png
17 Datenaustauschformate nutzen\T2_FIA_23W_1_AMAGSoft_3_ACIDDokumentendatenbank_Lösung_2von2.png</t>
  </si>
  <si>
    <t>17.4</t>
  </si>
  <si>
    <t>Ich kann Ziele und Aspekte der elektronischen Rechnung aus einem englischen Fachtext erläutern.</t>
  </si>
  <si>
    <t>T2 FIA 25W 1 2ba, T2 FIA 25W 1 2bb</t>
  </si>
  <si>
    <t>17 Datenaustauschformate nutzen\T2_FIA_25W_1_SoftwarePlanen_2_Gastroapp_1von2.png
17 Datenaustauschformate nutzen\T2_FIA_25W_1_SoftwarePlanen_2_Gastroapp_2von2.png
17 Datenaustauschformate nutzen\T2_FIA_25W_1_SoftwarePlanen_2_Gastroapp_Lösung.png</t>
  </si>
  <si>
    <t>18.1</t>
  </si>
  <si>
    <t>Vernetzte Systeme anbinden</t>
  </si>
  <si>
    <t>Ich kann LAN, SAN und LPWAN Anwendungsgebieten begründet zuordnen.</t>
  </si>
  <si>
    <t>18 Vernetzte Systeme anbinden\T2_FIA_24W_1_SoftwarePlanen_2_KVAG_1von2.png
18 Vernetzte Systeme anbinden\T2_FIA_24W_1_SoftwarePlanen_2_KVAG_2von2.png
18 Vernetzte Systeme anbinden\T2_FIA_24W_1_SoftwarePlanen_2_KVAG_Lösung.png</t>
  </si>
  <si>
    <t>18.2</t>
  </si>
  <si>
    <t>Ich kann Merkmale von LoRa aus einem englischen Fachtext nennen und den Einsatz für ein IoT-Projekt begründen.</t>
  </si>
  <si>
    <t>T2 FIA 26S 1 3aa, T2 FIA 26S 1 3ab</t>
  </si>
  <si>
    <t>T2: Häufigkeit 12 %, Punktgewicht 9 %</t>
  </si>
  <si>
    <t>18 Vernetzte Systeme anbinden\T2_FIA_26S_1_SoftwarePlanen_3_Landwirtschaft_1von2.png
18 Vernetzte Systeme anbinden\T2_FIA_26S_1_SoftwarePlanen_3_Landwirtschaft_2von2.png
18 Vernetzte Systeme anbinden\T2_FIA_26S_1_SoftwarePlanen_3_Landwirtschaft_Lösung.png</t>
  </si>
  <si>
    <t>18.3</t>
  </si>
  <si>
    <t>Ich kann die Felder eines Ethernet-Frames zuordnen und den Aufbau einer MAC-Adresse erläutern.</t>
  </si>
  <si>
    <t>T2 FIA 24W 1 2ba, T2 FIA 24W 1 2bb</t>
  </si>
  <si>
    <t>18.4</t>
  </si>
  <si>
    <t>Ich kann ein Skript zur Ermittlung von IP- und MAC-Adressen schreiben.</t>
  </si>
  <si>
    <t>19.1</t>
  </si>
  <si>
    <t>Daten verschlüsseln und signieren</t>
  </si>
  <si>
    <t>Ich kann symmetrische, asymmetrische und hybride Verfahren beschreiben und ein geeignetes Verfahren begründet vorschlagen.</t>
  </si>
  <si>
    <t>T2 FIA 25W 1 3aa, T2 FIA 25W 1 3ab, T2 FIA 23S 1 4a, T2 FIA 21W 1 4aa, T2 FIA 21W 1 4ab</t>
  </si>
  <si>
    <t>19 Daten verschlüsseln und signieren\T2_FIA_21W_1_SoftwarePlanen_4_Arztterminvergabe_1von2.png
19 Daten verschlüsseln und signieren\T2_FIA_21W_1_SoftwarePlanen_4_Arztterminvergabe_2von2.png
19 Daten verschlüsseln und signieren\T2_FIA_21W_1_SoftwarePlanen_4_Arztterminvergabe_Lösung.png</t>
  </si>
  <si>
    <t>19.2</t>
  </si>
  <si>
    <t>Ich kann das hybride Verfahren von TLS erläutern und die Prüfung der Authentizität über Zertifikate beschreiben.</t>
  </si>
  <si>
    <t>T2 FIA 22W 1 1d, T2 FIA 22W 1 1e, T2 FIA 22S 1 4c</t>
  </si>
  <si>
    <t>T2: Häufigkeit 18 %, Punktgewicht 9 %</t>
  </si>
  <si>
    <t>19 Daten verschlüsseln und signieren\T2_FIA_22S_1_SoftwarePlanen_4_Energieversorger_1von2.png
19 Daten verschlüsseln und signieren\T2_FIA_22S_1_SoftwarePlanen_4_Energieversorger_2von2.png
19 Daten verschlüsseln und signieren\T2_FIA_22S_1_SoftwarePlanen_4_Energieversorger_Lösung.png</t>
  </si>
  <si>
    <t>19.3</t>
  </si>
  <si>
    <t>Ich kann das Schutzziel Integrität erläutern und eine digitale Signatur gegen unbemerkte Manipulation einsetzen.</t>
  </si>
  <si>
    <t>T2 FIA 26S 1 3ba, T2 FIA 26S 1 3bb, T2 FIA 23S 1 4b</t>
  </si>
  <si>
    <t>T2: Häufigkeit 21 %, Punktgewicht 7 %</t>
  </si>
  <si>
    <t>19 Daten verschlüsseln und signieren\T2_FIA_23S_1_SoftwarePlanen_4_Beetsensorik_1von2.png
19 Daten verschlüsseln und signieren\T2_FIA_23S_1_SoftwarePlanen_4_Beetsensorik_2von2.png
19 Daten verschlüsseln und signieren\T2_FIA_23S_1_SoftwarePlanen_4_Beetsensorik_Lösung.png</t>
  </si>
  <si>
    <t>19.4</t>
  </si>
  <si>
    <t>Ich kann den RSA-Algorithmus erläutern und seine Eignung für ein Szenario beurteilen.</t>
  </si>
  <si>
    <t>T2 FIA 26S 1 3bc, T2 FIA 26S 1 3bd</t>
  </si>
  <si>
    <t>T2: Häufigkeit 12 %, Punktgewicht 6 %</t>
  </si>
  <si>
    <t>19 Daten verschlüsseln und signieren\T2_FIA_26S_1_SoftwarePlanen_3_Landwirtschaft_1von2.png
19 Daten verschlüsseln und signieren\T2_FIA_26S_1_SoftwarePlanen_3_Landwirtschaft_2von2.png
19 Daten verschlüsseln und signieren\T2_FIA_26S_1_SoftwarePlanen_3_Landwirtschaft_Lösung.png</t>
  </si>
  <si>
    <t>20.1</t>
  </si>
  <si>
    <t>Anwendungen sicher gestalten und Datenschutz beachten</t>
  </si>
  <si>
    <t>Ich kann sicherheitstechnische Anforderungen an ein System beschreiben.</t>
  </si>
  <si>
    <t>20 Anwendungen sicher gestalten und Datenschutz beachten\T2_FIA_24S_1_SoftwarePlanen_1_EServicePlattform_1von2.png
20 Anwendungen sicher gestalten und Datenschutz beachten\T2_FIA_24S_1_SoftwarePlanen_1_EServicePlattform_2von2.png
20 Anwendungen sicher gestalten und Datenschutz beachten\T2_FIA_24S_1_SoftwarePlanen_1_EServicePlattform_Lösung.png</t>
  </si>
  <si>
    <t>20.2</t>
  </si>
  <si>
    <t>Ich kann ein geeignetes Verfahren zur Speicherung von Passwörtern (Hash mit Salt) beschreiben.</t>
  </si>
  <si>
    <t>T2: Häufigkeit 11 %, Punktgewicht 3 %</t>
  </si>
  <si>
    <t>20 Anwendungen sicher gestalten und Datenschutz beachten\T2_FIA_25S_1_SoftwarePlanen_2_DigitaleKrankenakte_1von2.png
20 Anwendungen sicher gestalten und Datenschutz beachten\T2_FIA_25S_1_SoftwarePlanen_2_DigitaleKrankenakte_2von2.png
20 Anwendungen sicher gestalten und Datenschutz beachten\T2_FIA_25S_1_SoftwarePlanen_2_DigitaleKrankenakte_Lösung_1von2.png
20 Anwendungen sicher gestalten und Datenschutz beachten\T2_FIA_25S_1_SoftwarePlanen_2_DigitaleKrankenakte_Lösung_2von2.png</t>
  </si>
  <si>
    <t>20.3</t>
  </si>
  <si>
    <t>Ich kann Vor- und Nachteile von Single-Sign-On erläutern und Begriffe des OAuth2-Ablaufs zuordnen.</t>
  </si>
  <si>
    <t>T2 FIA 22W 1 1f, T2 FIA 22S 1 4b</t>
  </si>
  <si>
    <t>T2: Häufigkeit 18 %, Punktgewicht 6 %</t>
  </si>
  <si>
    <t>20 Anwendungen sicher gestalten und Datenschutz beachten\T2_FIA_22W_1_SoftwarePlanen_1_Raumbuchung_1von2.png
20 Anwendungen sicher gestalten und Datenschutz beachten\T2_FIA_22W_1_SoftwarePlanen_1_Raumbuchung_2von2.png
20 Anwendungen sicher gestalten und Datenschutz beachten\T2_FIA_22W_1_SoftwarePlanen_1_Raumbuchung_Lösung.png</t>
  </si>
  <si>
    <t>20.4</t>
  </si>
  <si>
    <t>Ich kann Schwachstellen beim Passwort-Reset und beim Dokumentenversand erkennen und sicherere Alternativen erläutern.</t>
  </si>
  <si>
    <t>T2 FIA 24S 2 1ca, T2 FIA 24S 2 1cb, T2 FIA 24S 2 1ba, T2 FIA 24S 2 1bb</t>
  </si>
  <si>
    <t>T2: Häufigkeit 10 %, Punktgewicht 11 %</t>
  </si>
  <si>
    <t>20 Anwendungen sicher gestalten und Datenschutz beachten\T2_FIA_24S_2_Algorithmus_1_Einladungsprozess_1von2.png
20 Anwendungen sicher gestalten und Datenschutz beachten\T2_FIA_24S_2_Algorithmus_1_Einladungsprozess_2von2.png
20 Anwendungen sicher gestalten und Datenschutz beachten\T2_FIA_24S_2_Algorithmus_1_Einladungsprozess_Lösung.png</t>
  </si>
  <si>
    <t>20.5</t>
  </si>
  <si>
    <t>Ich kann Gründe für Datenschutzerklärung und Einwilligung nach DSGVO beschreiben.</t>
  </si>
  <si>
    <t>20 Anwendungen sicher gestalten und Datenschutz beachten\T2_FIA_24W_1_SoftwarePlanen_1_KVAG_1von2.png
20 Anwendungen sicher gestalten und Datenschutz beachten\T2_FIA_24W_1_SoftwarePlanen_1_KVAG_2von2.png
20 Anwendungen sicher gestalten und Datenschutz beachten\T2_FIA_24W_1_SoftwarePlanen_1_KVAG_Lösung.png</t>
  </si>
  <si>
    <t>21.1</t>
  </si>
  <si>
    <t>Datenbanksysteme auswählen</t>
  </si>
  <si>
    <t>Ich kann Vorteile dokumentenorientierter NoSQL-Datenbanken erläutern und ein DBMS begründet auswählen.</t>
  </si>
  <si>
    <t>T2 FIA 22W 1 4c, T2 FIA 22S 1 2c</t>
  </si>
  <si>
    <t>21 Datenbanksysteme auswählen\T2_FIA_22S_1_SoftwarePlanen_2_Energieversorger_1von2.png
21 Datenbanksysteme auswählen\T2_FIA_22S_1_SoftwarePlanen_2_Energieversorger_2von2.png
21 Datenbanksysteme auswählen\T2_FIA_22S_1_SoftwarePlanen_2_Energieversorger_Lösung.png</t>
  </si>
  <si>
    <t>21.2</t>
  </si>
  <si>
    <t>Ich kann relationale und dokumentenorientierte Fachbegriffe einander zuordnen.</t>
  </si>
  <si>
    <t>T2: Häufigkeit 10 %, Punktgewicht 3 %</t>
  </si>
  <si>
    <t>21 Datenbanksysteme auswählen\T2_FIA_23W_1_AMAGSoft_3_ACIDDokumentendatenbank.png
21 Datenbanksysteme auswählen\T2_FIA_23W_1_AMAGSoft_3_ACIDDokumentendatenbank_Lösung_1von2.png
21 Datenbanksysteme auswählen\T2_FIA_23W_1_AMAGSoft_3_ACIDDokumentendatenbank_Lösung_2von2.png</t>
  </si>
  <si>
    <t>21.3</t>
  </si>
  <si>
    <t>Ich kann die ACID-Eigenschaften von Transaktionen beschreiben.</t>
  </si>
  <si>
    <t>21.4</t>
  </si>
  <si>
    <t>Ich kann Stored Procedures, Trigger und Indizes beschreiben.</t>
  </si>
  <si>
    <t>T2 FIA 22S 2 4aa, T2 FIA 22S 2 4ab, T2 FIA 22S 2 4ac</t>
  </si>
  <si>
    <t>21 Datenbanksysteme auswählen\T2_FIA_22S_2_Algorithmus_4_Energieversorger_1von3.png
21 Datenbanksysteme auswählen\T2_FIA_22S_2_Algorithmus_4_Energieversorger_2von3.png
21 Datenbanksysteme auswählen\T2_FIA_22S_2_Algorithmus_4_Energieversorger_3von3.png
21 Datenbanksysteme auswählen\T2_FIA_22S_2_Algorithmus_4_Energieversorger_Lösung.png</t>
  </si>
  <si>
    <t>22.1</t>
  </si>
  <si>
    <t>Datenbanken modellieren</t>
  </si>
  <si>
    <t>Ich kann ein ER-Modell mit Entitätstypen, Beziehungen, Kardinalitäten und ggf. Attributen erstellen oder erweitern.</t>
  </si>
  <si>
    <t>T2 FIA 25S 1 2a, T2 FIA 24S 1 4a, T2 FIA 23W 1 4a, T2 FIA 22W 2 3a, T2 FIA 21W 1 2b</t>
  </si>
  <si>
    <t>T2: Häufigkeit 48 %, Punktgewicht 16 %</t>
  </si>
  <si>
    <t>22 Datenbanken modellieren\T2_FIA_25S_1_SoftwarePlanen_2_DigitaleKrankenakte_1von2.png
22 Datenbanken modellieren\T2_FIA_25S_1_SoftwarePlanen_2_DigitaleKrankenakte_2von2.png
22 Datenbanken modellieren\T2_FIA_25S_1_SoftwarePlanen_2_DigitaleKrankenakte_Lösung_1von2.png
22 Datenbanken modellieren\T2_FIA_25S_1_SoftwarePlanen_2_DigitaleKrankenakte_Lösung_2von2.png</t>
  </si>
  <si>
    <t>22.2</t>
  </si>
  <si>
    <t>Ich kann ein relationales Datenmodell in 3. Normalform mit Primär- und Fremdschlüsseln und Kardinalitäten erstellen oder erweitern.</t>
  </si>
  <si>
    <t>T2 FIA 26S 2 3a, T2 FIA 25S 2 3, T2 FIA 24W 2 3a, T2 FIA 23W 2 3a, T2 FIA 23S 1 4cb, T2 FIA 22W 2 3b, T2 FIA 22S 2 3, T2 FIA 21W 2 3</t>
  </si>
  <si>
    <t>T2: Häufigkeit 79 %, Punktgewicht 25 %</t>
  </si>
  <si>
    <t>22 Datenbanken modellieren\T2_FIA_21W_2_Algorithmus_3_Arztterminvergabe_1von2.png
22 Datenbanken modellieren\T2_FIA_21W_2_Algorithmus_3_Arztterminvergabe_2von2.png
22 Datenbanken modellieren\T2_FIA_21W_2_Algorithmus_3_Arztterminvergabe_Lösung.png</t>
  </si>
  <si>
    <t>22.3</t>
  </si>
  <si>
    <t>Ich kann Redundanz sowie Änderungs-, Einfüge- und Löschanomalien an Beispielen erläutern.</t>
  </si>
  <si>
    <t>T2 FIA 25W 1 4a, T2 FIA 25W 1 4b, T2 FIA 23S 1 4ca</t>
  </si>
  <si>
    <t>T2: Häufigkeit 21 %, Punktgewicht 8 %</t>
  </si>
  <si>
    <t>22 Datenbanken modellieren\T2_FIA_25W_1_SoftwarePlanen_4_Gastroapp_1von3.png
22 Datenbanken modellieren\T2_FIA_25W_1_SoftwarePlanen_4_Gastroapp_2von3.png
22 Datenbanken modellieren\T2_FIA_25W_1_SoftwarePlanen_4_Gastroapp_3von3.png
22 Datenbanken modellieren\T2_FIA_25W_1_SoftwarePlanen_4_Gastroapp_Lösung.png</t>
  </si>
  <si>
    <t>22.4</t>
  </si>
  <si>
    <t>Ich kann eine nicht normalisierte Tabelle in die 3. Normalform überführen.</t>
  </si>
  <si>
    <t>T2: Häufigkeit 11 %, Punktgewicht 16 %</t>
  </si>
  <si>
    <t>22.5</t>
  </si>
  <si>
    <t>Ich kann sinnvolle Datentypen für Attribute festlegen.</t>
  </si>
  <si>
    <t>22 Datenbanken modellieren\T2_FIA_22W_2_Algorithmus_3_Raumbuchung_1von3.png
22 Datenbanken modellieren\T2_FIA_22W_2_Algorithmus_3_Raumbuchung_2von3.png
22 Datenbanken modellieren\T2_FIA_22W_2_Algorithmus_3_Raumbuchung_3von3.png
22 Datenbanken modellieren\T2_FIA_22W_2_Algorithmus_3_Raumbuchung_Lösung.png</t>
  </si>
  <si>
    <t>23.1</t>
  </si>
  <si>
    <t>Daten aufbereiten und Speicherbedarf berechnen</t>
  </si>
  <si>
    <t>Ich kann Datenqualitätsprobleme gelieferter Daten und ihre Folgen beschreiben.</t>
  </si>
  <si>
    <t>23 Daten aufbereiten und Speicherbedarf berechnen\T2_FIA_24W_2_Algorithmus_3_KVAG_1von2.png
23 Daten aufbereiten und Speicherbedarf berechnen\T2_FIA_24W_2_Algorithmus_3_KVAG_2von2.png
23 Daten aufbereiten und Speicherbedarf berechnen\T2_FIA_24W_2_Algorithmus_3_KVAG_Lösung.png</t>
  </si>
  <si>
    <t>23.2</t>
  </si>
  <si>
    <t>Ich kann einen Importweg für externe Daten aufzeigen und eine Importidee beurteilen.</t>
  </si>
  <si>
    <t>T2 FIA 24W 2 3bb, T2 FIA 24W 2 3bc</t>
  </si>
  <si>
    <t>23.3</t>
  </si>
  <si>
    <t>Ich kann den Speicherbedarf von Bilddaten über einen Zeitraum in GiB bzw. TiB berechnen.</t>
  </si>
  <si>
    <t>T2 FIA 26S 2 3b, T2 FIA 23W 2 3b</t>
  </si>
  <si>
    <t>23 Daten aufbereiten und Speicherbedarf berechnen\T2_FIA_23W_2_Messstellen_3_DatenmodellSpeicherbedarf.png
23 Daten aufbereiten und Speicherbedarf berechnen\T2_FIA_23W_2_Messstellen_3_DatenmodellSpeicherbedarf_Lösung_1von2.png
23 Daten aufbereiten und Speicherbedarf berechnen\T2_FIA_23W_2_Messstellen_3_DatenmodellSpeicherbedarf_Lösung_2von2.png</t>
  </si>
  <si>
    <t>23.4</t>
  </si>
  <si>
    <t>Ich kann Formeln in der Tabellenkalkulation mit Datumsfunktionen, SVERWEIS und Bedingungen angeben.</t>
  </si>
  <si>
    <t>T2 FIA 23S 1 3aa, T2 FIA 23S 1 3ab, T2 FIA 23S 1 3ac</t>
  </si>
  <si>
    <t>T2: Häufigkeit 9 %, Punktgewicht 12 %</t>
  </si>
  <si>
    <t>23 Daten aufbereiten und Speicherbedarf berechnen\T2_FIA_23S_1_SoftwarePlanen_3_Preismodell_1von4.png
23 Daten aufbereiten und Speicherbedarf berechnen\T2_FIA_23S_1_SoftwarePlanen_3_Preismodell_2von4.png
23 Daten aufbereiten und Speicherbedarf berechnen\T2_FIA_23S_1_SoftwarePlanen_3_Preismodell_3von4.png
23 Daten aufbereiten und Speicherbedarf berechnen\T2_FIA_23S_1_SoftwarePlanen_3_Preismodell_4von4.png
23 Daten aufbereiten und Speicherbedarf berechnen\T2_FIA_23S_1_SoftwarePlanen_3_Preismodell_Lösung.png</t>
  </si>
  <si>
    <t>23.5</t>
  </si>
  <si>
    <t>Ich kann Einsatzmöglichkeiten und Probleme von Tabellenkalkulationsprogrammen beschreiben.</t>
  </si>
  <si>
    <t>T2 FIA 23S 1 3ba, T2 FIA 23S 1 3bb</t>
  </si>
  <si>
    <t>24.1</t>
  </si>
  <si>
    <t>Datenbanken mit SQL verwalten</t>
  </si>
  <si>
    <t>Ich kann CRUD-Operationen den SQL-Befehlen zuordnen und als DDL, DML oder DQL einordnen.</t>
  </si>
  <si>
    <t>T2: Häufigkeit 12 %, Punktgewicht 3 %</t>
  </si>
  <si>
    <t>24 Datenbanken mit SQL verwalten\T2_FIA_26S_2_Algorithmus_4_Landwirtschaft_1von3.png
24 Datenbanken mit SQL verwalten\T2_FIA_26S_2_Algorithmus_4_Landwirtschaft_2von3.png
24 Datenbanken mit SQL verwalten\T2_FIA_26S_2_Algorithmus_4_Landwirtschaft_3von3.png
24 Datenbanken mit SQL verwalten\T2_FIA_26S_2_Algorithmus_4_Landwirtschaft_Lösung_1von2.png
24 Datenbanken mit SQL verwalten\T2_FIA_26S_2_Algorithmus_4_Landwirtschaft_Lösung_2von2.png</t>
  </si>
  <si>
    <t>24.2</t>
  </si>
  <si>
    <t>Ich kann mit CREATE TABLE, CREATE INDEX und ALTER TABLE Tabellen, Indizes, Spalten und Pflichtfelder anlegen bzw. ändern.</t>
  </si>
  <si>
    <t>T2 FIA 25W 2 4d, T2 FIA 25S 2 4d, T2 FIA 22S 2 4ba, T2 FIA 21W 2 4a</t>
  </si>
  <si>
    <t>T2: Häufigkeit 39 %, Punktgewicht 8 %</t>
  </si>
  <si>
    <t>24 Datenbanken mit SQL verwalten\T2_FIA_25W_2_Algorithmus_4_Gastroapp_1von4.png
24 Datenbanken mit SQL verwalten\T2_FIA_25W_2_Algorithmus_4_Gastroapp_2von4.png
24 Datenbanken mit SQL verwalten\T2_FIA_25W_2_Algorithmus_4_Gastroapp_3von4.png
24 Datenbanken mit SQL verwalten\T2_FIA_25W_2_Algorithmus_4_Gastroapp_4von4.png
24 Datenbanken mit SQL verwalten\T2_FIA_25W_2_Algorithmus_4_Gastroapp_Lösung.png</t>
  </si>
  <si>
    <t>24.3</t>
  </si>
  <si>
    <t>Ich kann mit INSERT und UPDATE Datensätze einfügen und berechnet ändern, auch mit Bedingungen über mehrere Tabellen.</t>
  </si>
  <si>
    <t>T2 FIA 25W 2 4a, T2 FIA 25S 2 4a, T2 FIA 23W 2 4c, T2 FIA 21W 2 4c</t>
  </si>
  <si>
    <t>T2: Häufigkeit 40 %, Punktgewicht 8 %</t>
  </si>
  <si>
    <t>24 Datenbanken mit SQL verwalten\T2_FIA_23W_2_Kundenverwaltung_4_SQL.png
24 Datenbanken mit SQL verwalten\T2_FIA_23W_2_Kundenverwaltung_4_SQL_Lösung.png</t>
  </si>
  <si>
    <t>24.4</t>
  </si>
  <si>
    <t>Ich kann mit DELETE Datensätze löschen, auch solche ohne zugehörige Datensätze in einer anderen Tabelle.</t>
  </si>
  <si>
    <t>T2 FIA 26S 2 4cb, T2 FIA 24S 2 4a, T2 FIA 22S 2 4bb</t>
  </si>
  <si>
    <t>T2: Häufigkeit 31 %, Punktgewicht 5 %</t>
  </si>
  <si>
    <t>24 Datenbanken mit SQL verwalten\T2_FIA_22S_2_Algorithmus_4_Energieversorger_1von3.png
24 Datenbanken mit SQL verwalten\T2_FIA_22S_2_Algorithmus_4_Energieversorger_2von3.png
24 Datenbanken mit SQL verwalten\T2_FIA_22S_2_Algorithmus_4_Energieversorger_3von3.png
24 Datenbanken mit SQL verwalten\T2_FIA_22S_2_Algorithmus_4_Energieversorger_Lösung.png</t>
  </si>
  <si>
    <t>24.5</t>
  </si>
  <si>
    <t>Ich kann Datensätze mit INSERT INTO … SELECT archivieren und anschließend aus den Ursprungstabellen löschen.</t>
  </si>
  <si>
    <t>T2 FIA 26S 2 4ca, T2 FIA 26S 2 4cb, T2 FIA 24S 2 4c, T2 FIA 22W 2 4b</t>
  </si>
  <si>
    <t>T2: Häufigkeit 31 %, Punktgewicht 14 %</t>
  </si>
  <si>
    <t>24 Datenbanken mit SQL verwalten\T2_FIA_22W_2_Algorithmus_4_Raumbuchung_1von3.png
24 Datenbanken mit SQL verwalten\T2_FIA_22W_2_Algorithmus_4_Raumbuchung_2von3.png
24 Datenbanken mit SQL verwalten\T2_FIA_22W_2_Algorithmus_4_Raumbuchung_3von3.png
24 Datenbanken mit SQL verwalten\T2_FIA_22W_2_Algorithmus_4_Raumbuchung_Lösung.png</t>
  </si>
  <si>
    <t>24.6</t>
  </si>
  <si>
    <t>Ich kann Benutzer anlegen und Rechte mit GRANT und REVOKE vergeben und entziehen.</t>
  </si>
  <si>
    <t>T2 FIA 25S 2 4b, T2 FIA 25S 2 4c, T2 FIA 23S 2 4d</t>
  </si>
  <si>
    <t>24 Datenbanken mit SQL verwalten\T2_FIA_23S_2_Algorithmus_4_Pflegearbeiten_1von2.png
24 Datenbanken mit SQL verwalten\T2_FIA_23S_2_Algorithmus_4_Pflegearbeiten_2von2.png
24 Datenbanken mit SQL verwalten\T2_FIA_23S_2_Algorithmus_4_Pflegearbeiten_Lösung.png</t>
  </si>
  <si>
    <t>25.1</t>
  </si>
  <si>
    <t>Daten mit SQL abfragen</t>
  </si>
  <si>
    <t>Ich kann mit SELECT, WHERE, ORDER BY, IN, BETWEEN und LIKE gezielt Datensätze abfragen und sortieren.</t>
  </si>
  <si>
    <t>T2 FIA 24W 2 4a, T2 FIA 24W 2 4b, T2 FIA 23W 2 4a, T2 FIA 22W 2 4c, T2 FIA 21W 2 4b, T2 FIA 21W 2 4e</t>
  </si>
  <si>
    <t>T2: Häufigkeit 38 %, Punktgewicht 11 %</t>
  </si>
  <si>
    <t>25 Daten mit SQL abfragen\T2_FIA_21W_2_Algorithmus_4_Arztterminvergabe_1von2.png
25 Daten mit SQL abfragen\T2_FIA_21W_2_Algorithmus_4_Arztterminvergabe_2von2.png
25 Daten mit SQL abfragen\T2_FIA_21W_2_Algorithmus_4_Arztterminvergabe_Lösung.png</t>
  </si>
  <si>
    <t>25.2</t>
  </si>
  <si>
    <t>Ich kann mit Aggregatfunktionen und GROUP BY Kennzahlen je Gruppe ermitteln und mit HAVING filtern.</t>
  </si>
  <si>
    <t>T2 FIA 26S 2 4b, T2 FIA 25W 2 4c, T2 FIA 25W 2 4e, T2 FIA 25S 2 4e, T2 FIA 24S 2 4b, T2 FIA 23W 2 4b, T2 FIA 23S 2 4a, T2 FIA 22S 2 4bc, T2 FIA 21W 2 4d</t>
  </si>
  <si>
    <t>T2: Häufigkeit 80 %, Punktgewicht 10 %</t>
  </si>
  <si>
    <t>25 Daten mit SQL abfragen\T2_FIA_26S_2_Algorithmus_4_Landwirtschaft_1von3.png
25 Daten mit SQL abfragen\T2_FIA_26S_2_Algorithmus_4_Landwirtschaft_2von3.png
25 Daten mit SQL abfragen\T2_FIA_26S_2_Algorithmus_4_Landwirtschaft_3von3.png
25 Daten mit SQL abfragen\T2_FIA_26S_2_Algorithmus_4_Landwirtschaft_Lösung_1von2.png
25 Daten mit SQL abfragen\T2_FIA_26S_2_Algorithmus_4_Landwirtschaft_Lösung_2von2.png</t>
  </si>
  <si>
    <t>25.3</t>
  </si>
  <si>
    <t>Ich kann Daten aus mehreren Tabellen mit JOIN verknüpfen und berechnete Werte (z. B. Gesamtpreis, Verspätung, Verbrauch) ausgeben.</t>
  </si>
  <si>
    <t>T2 FIA 25W 2 4b, T2 FIA 24W 2 4c, T2 FIA 23S 2 4b, T2 FIA 22S 2 4bd</t>
  </si>
  <si>
    <t>T2: Häufigkeit 40 %, Punktgewicht 12 %</t>
  </si>
  <si>
    <t>25 Daten mit SQL abfragen\T2_FIA_24W_2_Algorithmus_4_KVAG_1von2.png
25 Daten mit SQL abfragen\T2_FIA_24W_2_Algorithmus_4_KVAG_2von2.png
25 Daten mit SQL abfragen\T2_FIA_24W_2_Algorithmus_4_KVAG_Lösung.png</t>
  </si>
  <si>
    <t>25.4</t>
  </si>
  <si>
    <t>Ich kann Datums- und Zeitfunktionen für Auswertungen je Zeitraum einsetzen.</t>
  </si>
  <si>
    <t>T2 FIA 23S 2 4b, T2 FIA 23S 2 4c, T2 FIA 22W 2 4a</t>
  </si>
  <si>
    <t>T2: Häufigkeit 19 %, Punktgewicht 16 %</t>
  </si>
  <si>
    <t>25 Daten mit SQL abfragen\T2_FIA_22W_2_Algorithmus_4_Raumbuchung_1von3.png
25 Daten mit SQL abfragen\T2_FIA_22W_2_Algorithmus_4_Raumbuchung_2von3.png
25 Daten mit SQL abfragen\T2_FIA_22W_2_Algorithmus_4_Raumbuchung_3von3.png
25 Daten mit SQL abfragen\T2_FIA_22W_2_Algorithmus_4_Raumbuchung_Lösung.png</t>
  </si>
  <si>
    <t>25.5</t>
  </si>
  <si>
    <t>Ich kann Unterabfragen und UNION einsetzen, z. B. für Durchschnitte über aggregierte Werte oder Archivdaten.</t>
  </si>
  <si>
    <t>T2 FIA 25S 2 4f, T2 FIA 24S 2 4d, T2 FIA 23W 2 4d</t>
  </si>
  <si>
    <t>T2: Häufigkeit 31 %, Punktgewicht 12 %</t>
  </si>
  <si>
    <t>25 Daten mit SQL abfragen\T2_FIA_24S_2_Algorithmus_4_AktienkursSQL_1von4.png
25 Daten mit SQL abfragen\T2_FIA_24S_2_Algorithmus_4_AktienkursSQL_2von4.png
25 Daten mit SQL abfragen\T2_FIA_24S_2_Algorithmus_4_AktienkursSQL_3von4.png
25 Daten mit SQL abfragen\T2_FIA_24S_2_Algorithmus_4_AktienkursSQL_4von4.png
25 Daten mit SQL abfragen\T2_FIA_24S_2_Algorithmus_4_AktienkursSQL_Lösung.png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</si>
</sst>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%"/>
    <numFmt numFmtId="165" formatCode="dd\.mm\.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F3864"/>
      </patternFill>
    </fill>
    <fill>
      <patternFill patternType="solid">
        <fgColor rgb="FFE9F1FA"/>
      </patternFill>
    </fill>
    <fill>
      <patternFill patternType="solid">
        <fgColor rgb="FF7F7F7F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medium">
        <color indexed="64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medium">
        <color indexed="64"/>
      </bottom>
      <diagonal/>
    </border>
    <border>
      <left style="hair">
        <color theme="0" tint="-0.14993743705557422"/>
      </left>
      <right style="medium">
        <color indexed="64"/>
      </right>
      <top style="hair">
        <color theme="0" tint="-0.14993743705557422"/>
      </top>
      <bottom style="medium">
        <color indexed="64"/>
      </bottom>
      <diagonal/>
    </border>
    <border>
      <left style="medium">
        <color indexed="64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indexed="64"/>
      </left>
      <right style="hair">
        <color theme="0" tint="-0.14993743705557422"/>
      </right>
      <top style="hair">
        <color theme="0" tint="-0.14993743705557422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/>
  </cellStyleXfs>
  <cellXfs count="3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right"/>
    </xf>
    <xf numFmtId="9" fontId="0" fillId="0" borderId="5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0" fillId="0" borderId="3" xfId="0" applyBorder="1" applyAlignment="1">
      <alignment vertical="center" wrapText="1"/>
    </xf>
    <xf numFmtId="9" fontId="0" fillId="0" borderId="4" xfId="1" applyFont="1" applyBorder="1" applyAlignment="1">
      <alignment horizontal="center"/>
    </xf>
    <xf numFmtId="0" fontId="4" fillId="0" borderId="0" xfId="0" applyFont="1"/>
    <xf numFmtId="0" fontId="0" fillId="0" borderId="3" xfId="0" applyBorder="1"/>
    <xf numFmtId="9" fontId="0" fillId="0" borderId="5" xfId="1" applyFont="1" applyBorder="1"/>
    <xf numFmtId="9" fontId="2" fillId="0" borderId="0" xfId="0" applyNumberFormat="1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3" borderId="12" xfId="0" applyFill="1" applyBorder="1" applyAlignment="1" applyProtection="1">
      <alignment horizontal="left"/>
      <protection locked="0"/>
    </xf>
    <xf numFmtId="0" fontId="0" fillId="3" borderId="13" xfId="0" applyFill="1" applyBorder="1" applyAlignment="1" applyProtection="1">
      <alignment horizontal="left"/>
      <protection locked="0"/>
    </xf>
    <xf numFmtId="0" fontId="6" fillId="0" borderId="0" xfId="0" applyFont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164" fontId="0" fillId="3" borderId="10" xfId="1" applyNumberFormat="1" applyFont="1" applyFill="1" applyBorder="1" applyAlignment="1" applyProtection="1">
      <alignment horizontal="center" vertical="center"/>
      <protection locked="0"/>
    </xf>
    <xf numFmtId="165" fontId="0" fillId="3" borderId="7" xfId="0" applyNumberForma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>
      <alignment vertical="center" wrapText="1"/>
    </xf>
    <xf numFmtId="164" fontId="0" fillId="3" borderId="11" xfId="1" applyNumberFormat="1" applyFont="1" applyFill="1" applyBorder="1" applyAlignment="1" applyProtection="1">
      <alignment horizontal="center" vertical="center"/>
      <protection locked="0"/>
    </xf>
    <xf numFmtId="165" fontId="0" fillId="3" borderId="9" xfId="0" applyNumberFormat="1" applyFill="1" applyBorder="1" applyAlignment="1" applyProtection="1">
      <alignment horizontal="center" vertical="center"/>
      <protection locked="0"/>
    </xf>
    <xf numFmtId="0" fontId="9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7" fillId="6" borderId="0" xfId="0" applyFon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F69-4D71-B01E-146C3755E7D6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F69-4D71-B01E-146C3755E7D6}"/>
              </c:ext>
            </c:extLst>
          </c:dPt>
          <c:val>
            <c:numRef>
              <c:f>'Kann-Liste'!$F$3:$F$4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69-4D71-B01E-146C3755E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1F-4DCA-AAD2-6C277B5C5C5F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71F-4DCA-AAD2-6C277B5C5C5F}"/>
              </c:ext>
            </c:extLst>
          </c:dPt>
          <c:val>
            <c:numRef>
              <c:f>'Kann-Liste'!$F$32:$F$33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1F-4DCA-AAD2-6C277B5C5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AD-4C85-8DE5-DA58403C8570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6AD-4C85-8DE5-DA58403C8570}"/>
              </c:ext>
            </c:extLst>
          </c:dPt>
          <c:val>
            <c:numRef>
              <c:f>'Kann-Liste'!$F$43:$F$44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AD-4C85-8DE5-DA58403C8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B0-471D-835F-08A0F3CB7B8D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B0-471D-835F-08A0F3CB7B8D}"/>
              </c:ext>
            </c:extLst>
          </c:dPt>
          <c:val>
            <c:numRef>
              <c:f>'Kann-Liste'!$F$54:$F$55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B0-471D-835F-08A0F3CB7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91-4278-A26B-B591BB9194C2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691-4278-A26B-B591BB9194C2}"/>
              </c:ext>
            </c:extLst>
          </c:dPt>
          <c:val>
            <c:numRef>
              <c:f>'Kann-Liste'!$F$62:$F$63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1-4278-A26B-B591BB919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D3-463B-B24B-8A8ABB7DDDD5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D3-463B-B24B-8A8ABB7DDDD5}"/>
              </c:ext>
            </c:extLst>
          </c:dPt>
          <c:val>
            <c:numRef>
              <c:f>'Kann-Liste'!$F$70:$F$71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D3-463B-B24B-8A8ABB7DD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4A-49C2-9D98-D2693D60F824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4A-49C2-9D98-D2693D60F824}"/>
              </c:ext>
            </c:extLst>
          </c:dPt>
          <c:val>
            <c:numRef>
              <c:f>'Kann-Liste'!$F$78:$F$79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4A-49C2-9D98-D2693D60F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6B-4DCA-A825-32C80901EA44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6B-4DCA-A825-32C80901EA44}"/>
              </c:ext>
            </c:extLst>
          </c:dPt>
          <c:val>
            <c:numRef>
              <c:f>'Kann-Liste'!$F$84:$F$85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6B-4DCA-A825-32C80901E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E3-4F13-B4C7-2D0D98867E7B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E3-4F13-B4C7-2D0D98867E7B}"/>
              </c:ext>
            </c:extLst>
          </c:dPt>
          <c:val>
            <c:numRef>
              <c:f>'Kann-Liste'!$F$91:$F$92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E3-4F13-B4C7-2D0D98867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47-4E80-82D8-F40119CED6F1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47-4E80-82D8-F40119CED6F1}"/>
              </c:ext>
            </c:extLst>
          </c:dPt>
          <c:val>
            <c:numRef>
              <c:f>'Kann-Liste'!$F$100:$F$101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47-4E80-82D8-F40119CED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91F-49AA-86B1-75C9443BB61B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91F-49AA-86B1-75C9443BB61B}"/>
              </c:ext>
            </c:extLst>
          </c:dPt>
          <c:val>
            <c:numRef>
              <c:f>'Kann-Liste'!$F$108:$F$109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1F-49AA-86B1-75C9443BB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D0-4AD1-A081-D83FD479557E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9D0-4AD1-A081-D83FD479557E}"/>
              </c:ext>
            </c:extLst>
          </c:dPt>
          <c:val>
            <c:numRef>
              <c:f>'Kann-Liste'!$F$120:$F$121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D0-4AD1-A081-D83FD4795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00F-437B-B21F-8DE5068D2CA6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00F-437B-B21F-8DE5068D2CA6}"/>
              </c:ext>
            </c:extLst>
          </c:dPt>
          <c:val>
            <c:numRef>
              <c:f>'Kann-Liste'!$F$132:$F$133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0F-437B-B21F-8DE5068D2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3E-4955-9038-01E1C495D053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3E-4955-9038-01E1C495D053}"/>
              </c:ext>
            </c:extLst>
          </c:dPt>
          <c:val>
            <c:numRef>
              <c:f>'Kann-Liste'!$F$139:$F$140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3E-4955-9038-01E1C495D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3E-4FFE-B6C3-72E9E7496D0E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3E-4FFE-B6C3-72E9E7496D0E}"/>
              </c:ext>
            </c:extLst>
          </c:dPt>
          <c:val>
            <c:numRef>
              <c:f>'Kann-Liste'!$F$148:$F$149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3E-4FFE-B6C3-72E9E7496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1D-4DE9-BF4C-CEA8A99A686D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1D-4DE9-BF4C-CEA8A99A686D}"/>
              </c:ext>
            </c:extLst>
          </c:dPt>
          <c:val>
            <c:numRef>
              <c:f>'Kann-Liste'!$F$157:$F$158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1D-4DE9-BF4C-CEA8A99A6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DD6-47B4-B42E-914F9AD0153C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DD6-47B4-B42E-914F9AD0153C}"/>
              </c:ext>
            </c:extLst>
          </c:dPt>
          <c:val>
            <c:numRef>
              <c:f>'Kann-Liste'!$F$166:$F$167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D6-47B4-B42E-914F9AD01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BA-4D90-BF68-984A8F5B149E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BA-4D90-BF68-984A8F5B149E}"/>
              </c:ext>
            </c:extLst>
          </c:dPt>
          <c:val>
            <c:numRef>
              <c:f>'Kann-Liste'!$F$175:$F$176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BA-4D90-BF68-984A8F5B1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B0-4DAB-B96A-0901D96A1FA9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B0-4DAB-B96A-0901D96A1FA9}"/>
              </c:ext>
            </c:extLst>
          </c:dPt>
          <c:val>
            <c:numRef>
              <c:f>'Kann-Liste'!$F$183:$F$184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B0-4DAB-B96A-0901D96A1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17-473E-BDA2-2A706B0B1362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E17-473E-BDA2-2A706B0B1362}"/>
              </c:ext>
            </c:extLst>
          </c:dPt>
          <c:val>
            <c:numRef>
              <c:f>'Kann-Liste'!$F$191:$F$192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17-473E-BDA2-2A706B0B1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10A-4DCB-AC9D-276CFC9D0E67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10A-4DCB-AC9D-276CFC9D0E67}"/>
              </c:ext>
            </c:extLst>
          </c:dPt>
          <c:val>
            <c:numRef>
              <c:f>'Kann-Liste'!$F$199:$F$200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0A-4DCB-AC9D-276CFC9D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39-4D28-8BCF-6EF18C5A0B8B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39-4D28-8BCF-6EF18C5A0B8B}"/>
              </c:ext>
            </c:extLst>
          </c:dPt>
          <c:val>
            <c:numRef>
              <c:f>'Kann-Liste'!$F$208:$F$209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39-4D28-8BCF-6EF18C5A0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415-4724-B2F1-26FF64A5BA39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415-4724-B2F1-26FF64A5BA39}"/>
              </c:ext>
            </c:extLst>
          </c:dPt>
          <c:val>
            <c:numRef>
              <c:f>'Kann-Liste'!$F$216:$F$217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15-4724-B2F1-26FF64A5B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D9-4CF0-A1A9-F20A2175E2CE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D9-4CF0-A1A9-F20A2175E2CE}"/>
              </c:ext>
            </c:extLst>
          </c:dPt>
          <c:val>
            <c:numRef>
              <c:f>'Kann-Liste'!$F$225:$F$226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D9-4CF0-A1A9-F20A2175E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77-4846-8FD3-3DAFD419EDA1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77-4846-8FD3-3DAFD419EDA1}"/>
              </c:ext>
            </c:extLst>
          </c:dPt>
          <c:val>
            <c:numRef>
              <c:f>'Kann-Liste'!$F$234:$F$235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77-4846-8FD3-3DAFD419E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D2F-40F7-8682-6F3DA74A8CDC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D2F-40F7-8682-6F3DA74A8CDC}"/>
              </c:ext>
            </c:extLst>
          </c:dPt>
          <c:val>
            <c:numRef>
              <c:f>'Kann-Liste'!$F$244:$F$245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2F-40F7-8682-6F3DA74A8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C2-42B8-93DC-BF85F662FC1B}"/>
              </c:ext>
            </c:extLst>
          </c:dPt>
          <c:dPt>
            <c:idx val="1"/>
            <c:bubble3D val="0"/>
            <c:spPr>
              <a:noFill/>
              <a:ln>
                <a:solidFill>
                  <a:srgbClr val="4472C4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C2-42B8-93DC-BF85F662FC1B}"/>
              </c:ext>
            </c:extLst>
          </c:dPt>
          <c:val>
            <c:numRef>
              <c:f>'Kann-Liste'!$F$253:$F$254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C2-42B8-93DC-BF85F662F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image" Target="../media/image1.png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404000" cy="129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6</xdr:row>
      <xdr:rowOff>0</xdr:rowOff>
    </xdr:from>
    <xdr:ext cx="720000" cy="7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35</xdr:row>
      <xdr:rowOff>0</xdr:rowOff>
    </xdr:from>
    <xdr:ext cx="720000" cy="7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46</xdr:row>
      <xdr:rowOff>0</xdr:rowOff>
    </xdr:from>
    <xdr:ext cx="720000" cy="7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57</xdr:row>
      <xdr:rowOff>0</xdr:rowOff>
    </xdr:from>
    <xdr:ext cx="720000" cy="7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720000" cy="7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73</xdr:row>
      <xdr:rowOff>0</xdr:rowOff>
    </xdr:from>
    <xdr:ext cx="720000" cy="7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720000" cy="7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87</xdr:row>
      <xdr:rowOff>0</xdr:rowOff>
    </xdr:from>
    <xdr:ext cx="720000" cy="7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0</xdr:colOff>
      <xdr:row>94</xdr:row>
      <xdr:rowOff>0</xdr:rowOff>
    </xdr:from>
    <xdr:ext cx="720000" cy="7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103</xdr:row>
      <xdr:rowOff>0</xdr:rowOff>
    </xdr:from>
    <xdr:ext cx="720000" cy="7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5</xdr:col>
      <xdr:colOff>0</xdr:colOff>
      <xdr:row>111</xdr:row>
      <xdr:rowOff>0</xdr:rowOff>
    </xdr:from>
    <xdr:ext cx="720000" cy="7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123</xdr:row>
      <xdr:rowOff>0</xdr:rowOff>
    </xdr:from>
    <xdr:ext cx="720000" cy="7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5</xdr:col>
      <xdr:colOff>0</xdr:colOff>
      <xdr:row>135</xdr:row>
      <xdr:rowOff>0</xdr:rowOff>
    </xdr:from>
    <xdr:ext cx="720000" cy="7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5</xdr:col>
      <xdr:colOff>0</xdr:colOff>
      <xdr:row>142</xdr:row>
      <xdr:rowOff>0</xdr:rowOff>
    </xdr:from>
    <xdr:ext cx="720000" cy="72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5</xdr:col>
      <xdr:colOff>0</xdr:colOff>
      <xdr:row>151</xdr:row>
      <xdr:rowOff>0</xdr:rowOff>
    </xdr:from>
    <xdr:ext cx="720000" cy="72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5</xdr:col>
      <xdr:colOff>0</xdr:colOff>
      <xdr:row>160</xdr:row>
      <xdr:rowOff>0</xdr:rowOff>
    </xdr:from>
    <xdr:ext cx="720000" cy="72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5</xdr:col>
      <xdr:colOff>0</xdr:colOff>
      <xdr:row>169</xdr:row>
      <xdr:rowOff>0</xdr:rowOff>
    </xdr:from>
    <xdr:ext cx="720000" cy="72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5</xdr:col>
      <xdr:colOff>0</xdr:colOff>
      <xdr:row>178</xdr:row>
      <xdr:rowOff>0</xdr:rowOff>
    </xdr:from>
    <xdr:ext cx="720000" cy="72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5</xdr:col>
      <xdr:colOff>0</xdr:colOff>
      <xdr:row>186</xdr:row>
      <xdr:rowOff>0</xdr:rowOff>
    </xdr:from>
    <xdr:ext cx="720000" cy="72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5</xdr:col>
      <xdr:colOff>0</xdr:colOff>
      <xdr:row>194</xdr:row>
      <xdr:rowOff>0</xdr:rowOff>
    </xdr:from>
    <xdr:ext cx="720000" cy="72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5</xdr:col>
      <xdr:colOff>0</xdr:colOff>
      <xdr:row>202</xdr:row>
      <xdr:rowOff>0</xdr:rowOff>
    </xdr:from>
    <xdr:ext cx="720000" cy="72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5</xdr:col>
      <xdr:colOff>0</xdr:colOff>
      <xdr:row>211</xdr:row>
      <xdr:rowOff>0</xdr:rowOff>
    </xdr:from>
    <xdr:ext cx="720000" cy="720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5</xdr:col>
      <xdr:colOff>0</xdr:colOff>
      <xdr:row>219</xdr:row>
      <xdr:rowOff>0</xdr:rowOff>
    </xdr:from>
    <xdr:ext cx="720000" cy="72000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5</xdr:col>
      <xdr:colOff>0</xdr:colOff>
      <xdr:row>228</xdr:row>
      <xdr:rowOff>0</xdr:rowOff>
    </xdr:from>
    <xdr:ext cx="720000" cy="72000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5</xdr:col>
      <xdr:colOff>0</xdr:colOff>
      <xdr:row>237</xdr:row>
      <xdr:rowOff>0</xdr:rowOff>
    </xdr:from>
    <xdr:ext cx="720000" cy="72000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5</xdr:col>
      <xdr:colOff>0</xdr:colOff>
      <xdr:row>247</xdr:row>
      <xdr:rowOff>0</xdr:rowOff>
    </xdr:from>
    <xdr:ext cx="720000" cy="720000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4</xdr:col>
      <xdr:colOff>0</xdr:colOff>
      <xdr:row>0</xdr:row>
      <xdr:rowOff>0</xdr:rowOff>
    </xdr:from>
    <xdr:ext cx="2171700" cy="11049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4"/>
  <sheetViews>
    <sheetView showGridLines="0" tabSelected="1" zoomScale="92" zoomScaleNormal="205" workbookViewId="0">
      <selection activeCell="B3" sqref="B3"/>
    </sheetView>
  </sheetViews>
  <sheetFormatPr defaultColWidth="11.42578125" defaultRowHeight="14.25"/>
  <cols>
    <col min="1" max="1" width="13" customWidth="1"/>
    <col min="2" max="2" width="93.85546875" customWidth="1"/>
    <col min="3" max="3" width="8.140625" customWidth="1"/>
    <col min="4" max="4" width="17.42578125" customWidth="1"/>
    <col min="5" max="5" width="13" customWidth="1"/>
    <col min="6" max="6" width="11.5703125" customWidth="1"/>
  </cols>
  <sheetData>
    <row r="1" spans="1:7" ht="45.6" customHeight="1">
      <c r="B1" s="13" t="s">
        <v>0</v>
      </c>
    </row>
    <row r="2" spans="1:7" ht="45.6" customHeight="1" thickBot="1">
      <c r="B2" s="21" t="s">
        <v>1</v>
      </c>
    </row>
    <row r="3" spans="1:7" ht="14.65" customHeight="1" thickBot="1">
      <c r="A3" s="10" t="s">
        <v>2</v>
      </c>
      <c r="B3" s="19"/>
      <c r="E3" s="14" t="s">
        <v>3</v>
      </c>
      <c r="F3" s="15" t="str">
        <f>IF(COUNT(F32,F43,F54,F62,F70,F78,F84,F91,F100,F108,F120,F132,F139,F148,F157,F166,F175,F183,F191,F199,F208,F216,F225,F234,F244,F253)=0,0,SUM(F32,F43,F54,F62,F70,F78,F84,F91,F100,F108,F120,F132,F139,F148,F157,F166,F175,F183,F191,F199,F208,F216,F225,F234,F244,F253)/COUNT(F32,F43,F54,F62,F70,F78,F84,F91,F100,F108,F120,F132,F139,F148,F157,F166,F175,F183,F191,F199,F208,F216,F225,F234,F244,F253))</f>
        <v/>
      </c>
    </row>
    <row r="4" spans="1:7">
      <c r="A4" s="10" t="s">
        <v>4</v>
      </c>
      <c r="B4" s="20"/>
      <c r="F4" s="16" t="str">
        <f>1-F3</f>
        <v/>
      </c>
    </row>
    <row r="5" spans="1:7" thickBot="1">
      <c r="A5" s="10"/>
      <c r="B5" s="10"/>
      <c r="C5" s="10"/>
      <c r="D5" s="10"/>
      <c r="E5" s="10"/>
      <c r="F5" s="10"/>
      <c r="G5" s="10"/>
    </row>
    <row r="6" spans="1:7" thickBot="1">
      <c r="A6" s="10"/>
      <c r="B6" s="22" t="s">
        <v>5</v>
      </c>
      <c r="C6" s="23" t="s">
        <v>6</v>
      </c>
      <c r="D6" s="23" t="s">
        <v>7</v>
      </c>
      <c r="E6" s="24" t="s">
        <v>8</v>
      </c>
      <c r="F6" s="10"/>
      <c r="G6" s="10"/>
    </row>
    <row r="7" spans="1:7" s="7" customFormat="1" ht="34.9" customHeight="1">
      <c r="A7" s="10"/>
      <c r="B7" s="25" t="s">
        <v>9</v>
      </c>
      <c r="C7" s="26">
        <v>0.49</v>
      </c>
      <c r="D7" s="8" t="s">
        <v>10</v>
      </c>
      <c r="E7" s="27"/>
      <c r="F7" s="10"/>
      <c r="G7" s="10"/>
    </row>
    <row r="8" spans="1:7" s="7" customFormat="1" ht="34.9" customHeight="1">
      <c r="A8" s="10"/>
      <c r="B8" s="25" t="s">
        <v>11</v>
      </c>
      <c r="C8" s="26">
        <v>0.62</v>
      </c>
      <c r="D8" s="8" t="s">
        <v>12</v>
      </c>
      <c r="E8" s="27"/>
      <c r="F8" s="10"/>
      <c r="G8" s="10"/>
    </row>
    <row r="9" spans="1:7" s="7" customFormat="1" ht="34.9" customHeight="1">
      <c r="A9" s="10"/>
      <c r="B9" s="25" t="s">
        <v>13</v>
      </c>
      <c r="C9" s="26">
        <v>0.41</v>
      </c>
      <c r="D9" s="8" t="s">
        <v>14</v>
      </c>
      <c r="E9" s="27"/>
      <c r="F9" s="10"/>
      <c r="G9" s="10"/>
    </row>
    <row r="10" spans="1:7" s="7" customFormat="1" ht="34.9" customHeight="1">
      <c r="A10" s="10"/>
      <c r="B10" s="25" t="s">
        <v>15</v>
      </c>
      <c r="C10" s="26">
        <v>0.37</v>
      </c>
      <c r="D10" s="8" t="s">
        <v>16</v>
      </c>
      <c r="E10" s="27"/>
      <c r="F10" s="10"/>
      <c r="G10" s="10"/>
    </row>
    <row r="11" spans="1:7" s="7" customFormat="1" ht="19.899999999999999" customHeight="1">
      <c r="A11" s="10"/>
      <c r="B11" s="25" t="s">
        <v>17</v>
      </c>
      <c r="C11" s="26">
        <v>0.81</v>
      </c>
      <c r="D11" s="8" t="s">
        <v>18</v>
      </c>
      <c r="E11" s="27"/>
      <c r="F11" s="10"/>
      <c r="G11" s="10"/>
    </row>
    <row r="12" spans="1:7" s="7" customFormat="1" ht="19.899999999999999" customHeight="1" thickBot="1">
      <c r="A12" s="10"/>
      <c r="B12" s="25" t="s">
        <v>19</v>
      </c>
      <c r="C12" s="26">
        <v>0.8</v>
      </c>
      <c r="D12" s="8" t="s">
        <v>20</v>
      </c>
      <c r="E12" s="27"/>
      <c r="F12" s="10"/>
      <c r="G12" s="10"/>
    </row>
    <row r="13" spans="1:7" ht="34.9" customHeight="1" thickBot="1">
      <c r="A13" s="10"/>
      <c r="B13" s="25" t="s">
        <v>21</v>
      </c>
      <c r="C13" s="26">
        <v>0.6</v>
      </c>
      <c r="D13" s="8" t="s">
        <v>22</v>
      </c>
      <c r="E13" s="27"/>
      <c r="F13" s="10"/>
      <c r="G13" s="10"/>
    </row>
    <row r="14" spans="1:7" ht="19.899999999999999" customHeight="1" thickBot="1">
      <c r="A14" s="10"/>
      <c r="B14" s="25" t="s">
        <v>23</v>
      </c>
      <c r="C14" s="26">
        <v>0.5</v>
      </c>
      <c r="D14" s="8" t="s">
        <v>24</v>
      </c>
      <c r="E14" s="27"/>
      <c r="F14" s="10"/>
      <c r="G14" s="10"/>
    </row>
    <row r="15" spans="1:7" ht="34.9" customHeight="1" thickBot="1">
      <c r="A15" s="10"/>
      <c r="B15" s="25" t="s">
        <v>25</v>
      </c>
      <c r="C15" s="26">
        <v>0.4</v>
      </c>
      <c r="D15" s="8" t="s">
        <v>26</v>
      </c>
      <c r="E15" s="27"/>
      <c r="F15" s="10"/>
      <c r="G15" s="10"/>
    </row>
    <row r="16" spans="1:7" s="7" customFormat="1" ht="34.9" customHeight="1">
      <c r="A16" s="10"/>
      <c r="B16" s="25" t="s">
        <v>27</v>
      </c>
      <c r="C16" s="26">
        <v>1</v>
      </c>
      <c r="D16" s="8" t="s">
        <v>28</v>
      </c>
      <c r="E16" s="27"/>
      <c r="F16" s="10"/>
      <c r="G16" s="10"/>
    </row>
    <row r="17" spans="1:7" s="7" customFormat="1" ht="19.899999999999999" customHeight="1">
      <c r="A17" s="10"/>
      <c r="B17" s="25" t="s">
        <v>29</v>
      </c>
      <c r="C17" s="26">
        <v>0.78</v>
      </c>
      <c r="D17" s="8" t="s">
        <v>30</v>
      </c>
      <c r="E17" s="27"/>
      <c r="F17" s="10"/>
      <c r="G17" s="10"/>
    </row>
    <row r="18" spans="1:7" s="7" customFormat="1" ht="19.899999999999999" customHeight="1">
      <c r="A18" s="10"/>
      <c r="B18" s="25" t="s">
        <v>31</v>
      </c>
      <c r="C18" s="26">
        <v>0.51</v>
      </c>
      <c r="D18" s="8" t="s">
        <v>32</v>
      </c>
      <c r="E18" s="27"/>
      <c r="F18" s="10"/>
      <c r="G18" s="10"/>
    </row>
    <row r="19" spans="1:7" s="7" customFormat="1" ht="34.9" customHeight="1">
      <c r="A19" s="10"/>
      <c r="B19" s="25" t="s">
        <v>33</v>
      </c>
      <c r="C19" s="26">
        <v>0.51</v>
      </c>
      <c r="D19" s="8" t="s">
        <v>34</v>
      </c>
      <c r="E19" s="27"/>
      <c r="F19" s="10"/>
      <c r="G19" s="10"/>
    </row>
    <row r="20" spans="1:7" s="7" customFormat="1" ht="34.9" customHeight="1">
      <c r="A20" s="10"/>
      <c r="B20" s="25" t="s">
        <v>35</v>
      </c>
      <c r="C20" s="26">
        <v>0.18</v>
      </c>
      <c r="D20" s="8" t="s">
        <v>36</v>
      </c>
      <c r="E20" s="27"/>
      <c r="F20" s="10"/>
      <c r="G20" s="10"/>
    </row>
    <row r="21" spans="1:7" s="7" customFormat="1" ht="34.9" customHeight="1">
      <c r="A21" s="10"/>
      <c r="B21" s="25" t="s">
        <v>37</v>
      </c>
      <c r="C21" s="26">
        <v>0.6</v>
      </c>
      <c r="D21" s="8" t="s">
        <v>38</v>
      </c>
      <c r="E21" s="27"/>
      <c r="F21" s="10"/>
      <c r="G21" s="10"/>
    </row>
    <row r="22" spans="1:7" s="7" customFormat="1" ht="19.899999999999999" customHeight="1">
      <c r="A22" s="10"/>
      <c r="B22" s="25" t="s">
        <v>39</v>
      </c>
      <c r="C22" s="26">
        <v>0.5</v>
      </c>
      <c r="D22" s="8" t="s">
        <v>40</v>
      </c>
      <c r="E22" s="27"/>
      <c r="F22" s="10"/>
      <c r="G22" s="10"/>
    </row>
    <row r="23" spans="1:7" s="7" customFormat="1" ht="19.899999999999999" customHeight="1" thickBot="1">
      <c r="A23" s="10"/>
      <c r="B23" s="25" t="s">
        <v>41</v>
      </c>
      <c r="C23" s="26">
        <v>0.3</v>
      </c>
      <c r="D23" s="8" t="s">
        <v>42</v>
      </c>
      <c r="E23" s="27"/>
      <c r="F23" s="10"/>
      <c r="G23" s="10"/>
    </row>
    <row r="24" spans="1:7" ht="19.899999999999999" customHeight="1" thickBot="1">
      <c r="A24" s="10"/>
      <c r="B24" s="25" t="s">
        <v>43</v>
      </c>
      <c r="C24" s="26">
        <v>0.26</v>
      </c>
      <c r="D24" s="8" t="s">
        <v>44</v>
      </c>
      <c r="E24" s="27"/>
      <c r="F24" s="10"/>
      <c r="G24" s="10"/>
    </row>
    <row r="25" spans="1:7" ht="34.9" customHeight="1" thickBot="1">
      <c r="A25" s="10"/>
      <c r="B25" s="25" t="s">
        <v>45</v>
      </c>
      <c r="C25" s="26">
        <v>0.59</v>
      </c>
      <c r="D25" s="8" t="s">
        <v>46</v>
      </c>
      <c r="E25" s="27"/>
      <c r="F25" s="10"/>
      <c r="G25" s="10"/>
    </row>
    <row r="26" spans="1:7" ht="19.899999999999999" customHeight="1" thickBot="1">
      <c r="A26" s="10"/>
      <c r="B26" s="25" t="s">
        <v>47</v>
      </c>
      <c r="C26" s="26">
        <v>0.49</v>
      </c>
      <c r="D26" s="8" t="s">
        <v>48</v>
      </c>
      <c r="E26" s="27"/>
      <c r="F26" s="10"/>
      <c r="G26" s="10"/>
    </row>
    <row r="27" spans="1:7" s="7" customFormat="1" ht="34.9" customHeight="1">
      <c r="A27" s="10"/>
      <c r="B27" s="25" t="s">
        <v>49</v>
      </c>
      <c r="C27" s="26">
        <v>0.28000000000000003</v>
      </c>
      <c r="D27" s="8" t="s">
        <v>50</v>
      </c>
      <c r="E27" s="27"/>
      <c r="F27" s="10"/>
      <c r="G27" s="10"/>
    </row>
    <row r="28" spans="1:7" s="7" customFormat="1" ht="19.899999999999999" customHeight="1">
      <c r="A28" s="10"/>
      <c r="B28" s="25" t="s">
        <v>51</v>
      </c>
      <c r="C28" s="26">
        <v>1</v>
      </c>
      <c r="D28" s="8" t="s">
        <v>52</v>
      </c>
      <c r="E28" s="27"/>
      <c r="F28" s="10"/>
      <c r="G28" s="10"/>
    </row>
    <row r="29" spans="1:7" s="7" customFormat="1" ht="34.9" customHeight="1">
      <c r="A29" s="10"/>
      <c r="B29" s="25" t="s">
        <v>53</v>
      </c>
      <c r="C29" s="26">
        <v>0.41</v>
      </c>
      <c r="D29" s="8" t="s">
        <v>54</v>
      </c>
      <c r="E29" s="27"/>
      <c r="F29" s="10"/>
      <c r="G29" s="10"/>
    </row>
    <row r="30" spans="1:7" s="7" customFormat="1" ht="34.9" customHeight="1">
      <c r="A30" s="10"/>
      <c r="B30" s="25" t="s">
        <v>55</v>
      </c>
      <c r="C30" s="26">
        <v>0.89</v>
      </c>
      <c r="D30" s="8" t="s">
        <v>56</v>
      </c>
      <c r="E30" s="27"/>
      <c r="F30" s="10"/>
      <c r="G30" s="10"/>
    </row>
    <row r="31" spans="1:7" s="7" customFormat="1" ht="34.9" customHeight="1" thickBot="1">
      <c r="A31" s="10"/>
      <c r="B31" s="28" t="s">
        <v>57</v>
      </c>
      <c r="C31" s="29">
        <v>1</v>
      </c>
      <c r="D31" s="9" t="s">
        <v>58</v>
      </c>
      <c r="E31" s="30"/>
      <c r="F31" s="10"/>
      <c r="G31" s="10"/>
    </row>
    <row r="32" spans="1:7" thickBot="1">
      <c r="A32" s="10"/>
      <c r="B32" s="11"/>
      <c r="C32" s="12"/>
      <c r="D32" s="4"/>
      <c r="E32" s="5" t="s">
        <v>59</v>
      </c>
      <c r="F32" s="6" t="str">
        <f>IF(SUM(C7:C31)=0,"",SUMPRODUCT(C7:C31,N(E7:E31&lt;&gt;""))/SUM(C7:C31))</f>
        <v/>
      </c>
      <c r="G32" s="10"/>
    </row>
    <row r="33" spans="1:7" thickBot="1">
      <c r="A33" s="10"/>
      <c r="B33" s="10"/>
      <c r="C33" s="10"/>
      <c r="D33" s="10"/>
      <c r="E33" s="10"/>
      <c r="F33" s="16" t="str">
        <f>1-F32</f>
        <v/>
      </c>
      <c r="G33" s="10"/>
    </row>
    <row r="34" spans="1:7" thickBot="1">
      <c r="A34" s="10"/>
      <c r="B34" s="10"/>
      <c r="C34" s="10"/>
      <c r="D34" s="10"/>
      <c r="E34" s="10"/>
      <c r="F34" s="10"/>
      <c r="G34" s="10"/>
    </row>
    <row r="35" spans="1:7" s="7" customFormat="1">
      <c r="A35" s="10"/>
      <c r="B35" s="3" t="s">
        <v>60</v>
      </c>
      <c r="C35" s="17" t="s">
        <v>6</v>
      </c>
      <c r="D35" s="17" t="s">
        <v>7</v>
      </c>
      <c r="E35" s="18" t="s">
        <v>8</v>
      </c>
      <c r="F35" s="10"/>
      <c r="G35" s="10"/>
    </row>
    <row r="36" spans="1:7" s="7" customFormat="1" ht="19.899999999999999" customHeight="1">
      <c r="A36" s="10"/>
      <c r="B36" s="1" t="s">
        <v>61</v>
      </c>
      <c r="C36" s="26">
        <v>0.21</v>
      </c>
      <c r="D36" s="8" t="s">
        <v>62</v>
      </c>
      <c r="E36" s="27"/>
      <c r="F36" s="10"/>
      <c r="G36" s="10"/>
    </row>
    <row r="37" spans="1:7" s="7" customFormat="1" ht="34.9" customHeight="1">
      <c r="A37" s="10"/>
      <c r="B37" s="1" t="s">
        <v>63</v>
      </c>
      <c r="C37" s="26">
        <v>0.19</v>
      </c>
      <c r="D37" s="8" t="s">
        <v>64</v>
      </c>
      <c r="E37" s="27"/>
      <c r="F37" s="10"/>
      <c r="G37" s="10"/>
    </row>
    <row r="38" spans="1:7" s="7" customFormat="1" ht="19.899999999999999" customHeight="1" thickBot="1">
      <c r="A38" s="10"/>
      <c r="B38" s="1" t="s">
        <v>65</v>
      </c>
      <c r="C38" s="26">
        <v>0.09</v>
      </c>
      <c r="D38" s="8" t="s">
        <v>66</v>
      </c>
      <c r="E38" s="27"/>
      <c r="F38" s="10"/>
      <c r="G38" s="10"/>
    </row>
    <row r="39" spans="1:7" ht="19.899999999999999" customHeight="1" thickBot="1">
      <c r="A39" s="10"/>
      <c r="B39" s="1" t="s">
        <v>67</v>
      </c>
      <c r="C39" s="26">
        <v>0.1</v>
      </c>
      <c r="D39" s="8" t="s">
        <v>68</v>
      </c>
      <c r="E39" s="27"/>
      <c r="F39" s="10"/>
      <c r="G39" s="10"/>
    </row>
    <row r="40" spans="1:7" ht="19.899999999999999" customHeight="1" thickBot="1">
      <c r="A40" s="10"/>
      <c r="B40" s="1" t="s">
        <v>69</v>
      </c>
      <c r="C40" s="26">
        <v>0.11</v>
      </c>
      <c r="D40" s="8" t="s">
        <v>70</v>
      </c>
      <c r="E40" s="27"/>
      <c r="F40" s="10"/>
      <c r="G40" s="10"/>
    </row>
    <row r="41" spans="1:7" ht="34.9" customHeight="1" thickBot="1">
      <c r="A41" s="10"/>
      <c r="B41" s="1" t="s">
        <v>71</v>
      </c>
      <c r="C41" s="26">
        <v>0.21</v>
      </c>
      <c r="D41" s="8" t="s">
        <v>72</v>
      </c>
      <c r="E41" s="27"/>
      <c r="F41" s="10"/>
      <c r="G41" s="10"/>
    </row>
    <row r="42" spans="1:7" s="7" customFormat="1" ht="19.899999999999999" customHeight="1">
      <c r="A42" s="10"/>
      <c r="B42" s="2" t="s">
        <v>73</v>
      </c>
      <c r="C42" s="29">
        <v>0.1</v>
      </c>
      <c r="D42" s="9" t="s">
        <v>74</v>
      </c>
      <c r="E42" s="30"/>
      <c r="F42" s="10"/>
      <c r="G42" s="10"/>
    </row>
    <row r="43" spans="1:7" s="7" customFormat="1">
      <c r="A43" s="10"/>
      <c r="B43" s="11"/>
      <c r="C43" s="12"/>
      <c r="D43" s="4"/>
      <c r="E43" s="5" t="str">
        <f>MID(B35,18,2)&amp;" "&amp;MID(B35,22,LEN(B35)-32)</f>
        <v/>
      </c>
      <c r="F43" s="6" t="str">
        <f>IF(SUM(C36:C42)=0,"",SUMPRODUCT(C36:C42,N(E36:E42&lt;&gt;""))/SUM(C36:C42))</f>
        <v/>
      </c>
      <c r="G43" s="10"/>
    </row>
    <row r="44" spans="1:7" s="7" customFormat="1">
      <c r="A44" s="10"/>
      <c r="B44" s="10"/>
      <c r="C44" s="10"/>
      <c r="D44" s="10"/>
      <c r="E44" s="10"/>
      <c r="F44" s="16" t="str">
        <f>1-F43</f>
        <v/>
      </c>
      <c r="G44" s="10"/>
    </row>
    <row r="45" spans="1:7" s="7" customFormat="1" thickBot="1">
      <c r="A45" s="10"/>
      <c r="B45" s="10"/>
      <c r="C45" s="10"/>
      <c r="D45" s="10"/>
      <c r="E45" s="10"/>
      <c r="F45" s="10"/>
      <c r="G45" s="10"/>
    </row>
    <row r="46" spans="1:7" thickBot="1">
      <c r="A46" s="10"/>
      <c r="B46" s="3" t="s">
        <v>75</v>
      </c>
      <c r="C46" s="17" t="s">
        <v>6</v>
      </c>
      <c r="D46" s="17" t="s">
        <v>7</v>
      </c>
      <c r="E46" s="18" t="s">
        <v>8</v>
      </c>
      <c r="F46" s="10"/>
      <c r="G46" s="10"/>
    </row>
    <row r="47" spans="1:7" ht="19.899999999999999" customHeight="1" thickBot="1">
      <c r="A47" s="10"/>
      <c r="B47" s="1" t="s">
        <v>76</v>
      </c>
      <c r="C47" s="26">
        <v>0.19</v>
      </c>
      <c r="D47" s="8" t="s">
        <v>77</v>
      </c>
      <c r="E47" s="27"/>
      <c r="F47" s="10"/>
      <c r="G47" s="10"/>
    </row>
    <row r="48" spans="1:7" ht="34.9" customHeight="1" thickBot="1">
      <c r="A48" s="10"/>
      <c r="B48" s="1" t="s">
        <v>78</v>
      </c>
      <c r="C48" s="26">
        <v>0.11</v>
      </c>
      <c r="D48" s="8" t="s">
        <v>79</v>
      </c>
      <c r="E48" s="27"/>
      <c r="F48" s="10"/>
      <c r="G48" s="10"/>
    </row>
    <row r="49" spans="1:7" s="7" customFormat="1" ht="19.899999999999999" customHeight="1">
      <c r="A49" s="10"/>
      <c r="B49" s="1" t="s">
        <v>80</v>
      </c>
      <c r="C49" s="26">
        <v>0.09</v>
      </c>
      <c r="D49" s="8" t="s">
        <v>81</v>
      </c>
      <c r="E49" s="27"/>
      <c r="F49" s="10"/>
      <c r="G49" s="10"/>
    </row>
    <row r="50" spans="1:7" s="7" customFormat="1" ht="19.899999999999999" customHeight="1">
      <c r="A50" s="10"/>
      <c r="B50" s="1" t="s">
        <v>82</v>
      </c>
      <c r="C50" s="26">
        <v>0.17</v>
      </c>
      <c r="D50" s="8" t="s">
        <v>83</v>
      </c>
      <c r="E50" s="27"/>
      <c r="F50" s="10"/>
      <c r="G50" s="10"/>
    </row>
    <row r="51" spans="1:7" s="7" customFormat="1" ht="19.899999999999999" customHeight="1">
      <c r="A51" s="10"/>
      <c r="B51" s="1" t="s">
        <v>84</v>
      </c>
      <c r="C51" s="26">
        <v>0.12</v>
      </c>
      <c r="D51" s="8" t="s">
        <v>85</v>
      </c>
      <c r="E51" s="27"/>
      <c r="F51" s="10"/>
      <c r="G51" s="10"/>
    </row>
    <row r="52" spans="1:7" s="7" customFormat="1" ht="19.899999999999999" customHeight="1">
      <c r="A52" s="10"/>
      <c r="B52" s="1" t="s">
        <v>86</v>
      </c>
      <c r="C52" s="26">
        <v>0.12</v>
      </c>
      <c r="D52" s="8" t="s">
        <v>87</v>
      </c>
      <c r="E52" s="27"/>
      <c r="F52" s="10"/>
      <c r="G52" s="10"/>
    </row>
    <row r="53" spans="1:7" s="7" customFormat="1" ht="34.9" customHeight="1">
      <c r="A53" s="10"/>
      <c r="B53" s="2" t="s">
        <v>88</v>
      </c>
      <c r="C53" s="29">
        <v>0.22</v>
      </c>
      <c r="D53" s="9" t="s">
        <v>89</v>
      </c>
      <c r="E53" s="30"/>
      <c r="F53" s="10"/>
      <c r="G53" s="10"/>
    </row>
    <row r="54" spans="1:7" s="7" customFormat="1">
      <c r="A54" s="10"/>
      <c r="B54" s="11"/>
      <c r="C54" s="12"/>
      <c r="D54" s="4"/>
      <c r="E54" s="5" t="str">
        <f>MID(B46,18,2)&amp;" "&amp;MID(B46,22,LEN(B46)-32)</f>
        <v/>
      </c>
      <c r="F54" s="6" t="str">
        <f>IF(SUM(C47:C53)=0,"",SUMPRODUCT(C47:C53,N(E47:E53&lt;&gt;""))/SUM(C47:C53))</f>
        <v/>
      </c>
      <c r="G54" s="10"/>
    </row>
    <row r="55" spans="1:7" s="7" customFormat="1" thickBot="1">
      <c r="A55" s="10"/>
      <c r="B55" s="10"/>
      <c r="C55" s="10"/>
      <c r="D55" s="10"/>
      <c r="E55" s="10"/>
      <c r="F55" s="16" t="str">
        <f>1-F54</f>
        <v/>
      </c>
      <c r="G55" s="10"/>
    </row>
    <row r="56" spans="1:7" thickBot="1">
      <c r="A56" s="10"/>
      <c r="B56" s="10"/>
      <c r="C56" s="10"/>
      <c r="D56" s="10"/>
      <c r="E56" s="10"/>
      <c r="F56" s="10"/>
      <c r="G56" s="10"/>
    </row>
    <row r="57" spans="1:7" thickBot="1">
      <c r="A57" s="10"/>
      <c r="B57" s="3" t="s">
        <v>90</v>
      </c>
      <c r="C57" s="17" t="s">
        <v>6</v>
      </c>
      <c r="D57" s="17" t="s">
        <v>7</v>
      </c>
      <c r="E57" s="18" t="s">
        <v>8</v>
      </c>
      <c r="F57" s="10"/>
      <c r="G57" s="10"/>
    </row>
    <row r="58" spans="1:7" ht="19.899999999999999" customHeight="1" thickBot="1">
      <c r="A58" s="10"/>
      <c r="B58" s="1" t="s">
        <v>91</v>
      </c>
      <c r="C58" s="26">
        <v>0.11</v>
      </c>
      <c r="D58" s="8" t="s">
        <v>92</v>
      </c>
      <c r="E58" s="27"/>
      <c r="F58" s="10"/>
      <c r="G58" s="10"/>
    </row>
    <row r="59" spans="1:7" s="7" customFormat="1" ht="34.9" customHeight="1">
      <c r="A59" s="10"/>
      <c r="B59" s="1" t="s">
        <v>93</v>
      </c>
      <c r="C59" s="26">
        <v>0.32</v>
      </c>
      <c r="D59" s="8" t="s">
        <v>94</v>
      </c>
      <c r="E59" s="27"/>
      <c r="F59" s="10"/>
      <c r="G59" s="10"/>
    </row>
    <row r="60" spans="1:7" s="7" customFormat="1" ht="19.899999999999999" customHeight="1">
      <c r="A60" s="10"/>
      <c r="B60" s="1" t="s">
        <v>95</v>
      </c>
      <c r="C60" s="26">
        <v>0.09</v>
      </c>
      <c r="D60" s="8" t="s">
        <v>96</v>
      </c>
      <c r="E60" s="27"/>
      <c r="F60" s="10"/>
      <c r="G60" s="10"/>
    </row>
    <row r="61" spans="1:7" s="7" customFormat="1" ht="19.899999999999999" customHeight="1">
      <c r="A61" s="10"/>
      <c r="B61" s="2" t="s">
        <v>97</v>
      </c>
      <c r="C61" s="29">
        <v>0.09</v>
      </c>
      <c r="D61" s="9" t="s">
        <v>98</v>
      </c>
      <c r="E61" s="30"/>
      <c r="F61" s="10"/>
      <c r="G61" s="10"/>
    </row>
    <row r="62" spans="1:7" s="7" customFormat="1">
      <c r="A62" s="10"/>
      <c r="B62" s="11"/>
      <c r="C62" s="12"/>
      <c r="D62" s="4"/>
      <c r="E62" s="5" t="str">
        <f>MID(B57,18,2)&amp;" "&amp;MID(B57,22,LEN(B57)-32)</f>
        <v/>
      </c>
      <c r="F62" s="6" t="str">
        <f>IF(SUM(C58:C61)=0,"",SUMPRODUCT(C58:C61,N(E58:E61&lt;&gt;""))/SUM(C58:C61))</f>
        <v/>
      </c>
      <c r="G62" s="10"/>
    </row>
    <row r="63" spans="1:7" s="7" customFormat="1">
      <c r="A63" s="10"/>
      <c r="B63" s="10"/>
      <c r="C63" s="10"/>
      <c r="D63" s="10"/>
      <c r="E63" s="10"/>
      <c r="F63" s="16" t="str">
        <f>1-F62</f>
        <v/>
      </c>
      <c r="G63" s="10"/>
    </row>
    <row r="64" spans="1:7" s="7" customFormat="1" thickBot="1">
      <c r="A64" s="10"/>
      <c r="B64" s="10"/>
      <c r="C64" s="10"/>
      <c r="D64" s="10"/>
      <c r="E64" s="10"/>
      <c r="F64" s="10"/>
      <c r="G64" s="10"/>
    </row>
    <row r="65" spans="1:7" thickBot="1">
      <c r="A65" s="10"/>
      <c r="B65" s="3" t="s">
        <v>99</v>
      </c>
      <c r="C65" s="17" t="s">
        <v>6</v>
      </c>
      <c r="D65" s="17" t="s">
        <v>7</v>
      </c>
      <c r="E65" s="18" t="s">
        <v>8</v>
      </c>
      <c r="F65" s="10"/>
      <c r="G65" s="10"/>
    </row>
    <row r="66" spans="1:7" ht="19.899999999999999" customHeight="1" thickBot="1">
      <c r="A66" s="10"/>
      <c r="B66" s="1" t="s">
        <v>100</v>
      </c>
      <c r="C66" s="26">
        <v>0.09</v>
      </c>
      <c r="D66" s="8" t="s">
        <v>101</v>
      </c>
      <c r="E66" s="27"/>
      <c r="F66" s="10"/>
      <c r="G66" s="10"/>
    </row>
    <row r="67" spans="1:7" ht="19.899999999999999" customHeight="1" thickBot="1">
      <c r="A67" s="10"/>
      <c r="B67" s="1" t="s">
        <v>102</v>
      </c>
      <c r="C67" s="26">
        <v>0.27</v>
      </c>
      <c r="D67" s="8" t="s">
        <v>103</v>
      </c>
      <c r="E67" s="27"/>
      <c r="F67" s="10"/>
      <c r="G67" s="10"/>
    </row>
    <row r="68" spans="1:7" ht="19.899999999999999" customHeight="1">
      <c r="A68" s="10"/>
      <c r="B68" s="1" t="s">
        <v>104</v>
      </c>
      <c r="C68" s="26">
        <v>0.1</v>
      </c>
      <c r="D68" s="8" t="s">
        <v>105</v>
      </c>
      <c r="E68" s="27"/>
      <c r="F68" s="10"/>
      <c r="G68" s="10"/>
    </row>
    <row r="69" spans="1:7" ht="19.899999999999999" customHeight="1">
      <c r="A69" s="10"/>
      <c r="B69" s="2" t="s">
        <v>106</v>
      </c>
      <c r="C69" s="29">
        <v>0.1</v>
      </c>
      <c r="D69" s="9" t="s">
        <v>107</v>
      </c>
      <c r="E69" s="30"/>
      <c r="F69" s="10"/>
      <c r="G69" s="10"/>
    </row>
    <row r="70" spans="1:7">
      <c r="A70" s="10"/>
      <c r="B70" s="11"/>
      <c r="C70" s="12"/>
      <c r="D70" s="4"/>
      <c r="E70" s="5" t="str">
        <f>MID(B65,18,2)&amp;" "&amp;MID(B65,22,LEN(B65)-32)</f>
        <v/>
      </c>
      <c r="F70" s="6" t="str">
        <f>IF(SUM(C66:C69)=0,"",SUMPRODUCT(C66:C69,N(E66:E69&lt;&gt;""))/SUM(C66:C69))</f>
        <v/>
      </c>
      <c r="G70" s="10"/>
    </row>
    <row r="71" spans="1:7">
      <c r="A71" s="10"/>
      <c r="B71" s="10"/>
      <c r="C71" s="10"/>
      <c r="D71" s="10"/>
      <c r="E71" s="10"/>
      <c r="F71" s="16" t="str">
        <f>1-F70</f>
        <v/>
      </c>
      <c r="G71" s="10"/>
    </row>
    <row r="72" spans="1:7">
      <c r="A72" s="10"/>
      <c r="B72" s="10"/>
      <c r="C72" s="10"/>
      <c r="D72" s="10"/>
      <c r="E72" s="10"/>
      <c r="F72" s="10"/>
      <c r="G72" s="10"/>
    </row>
    <row r="73" spans="1:7">
      <c r="A73" s="10"/>
      <c r="B73" s="3" t="s">
        <v>108</v>
      </c>
      <c r="C73" s="17" t="s">
        <v>6</v>
      </c>
      <c r="D73" s="17" t="s">
        <v>7</v>
      </c>
      <c r="E73" s="18" t="s">
        <v>8</v>
      </c>
      <c r="F73" s="10"/>
      <c r="G73" s="10"/>
    </row>
    <row r="74" spans="1:7" ht="34.9" customHeight="1">
      <c r="A74" s="10"/>
      <c r="B74" s="1" t="s">
        <v>109</v>
      </c>
      <c r="C74" s="26">
        <v>0.3</v>
      </c>
      <c r="D74" s="8" t="s">
        <v>110</v>
      </c>
      <c r="E74" s="27"/>
      <c r="F74" s="10"/>
      <c r="G74" s="10"/>
    </row>
    <row r="75" spans="1:7" s="7" customFormat="1" ht="34.9" customHeight="1">
      <c r="A75" s="10"/>
      <c r="B75" s="1" t="s">
        <v>111</v>
      </c>
      <c r="C75" s="26">
        <v>0.39</v>
      </c>
      <c r="D75" s="8" t="s">
        <v>112</v>
      </c>
      <c r="E75" s="27"/>
      <c r="F75" s="10"/>
      <c r="G75" s="10"/>
    </row>
    <row r="76" spans="1:7" s="7" customFormat="1" ht="19.899999999999999" customHeight="1" thickBot="1">
      <c r="A76" s="10"/>
      <c r="B76" s="1" t="s">
        <v>113</v>
      </c>
      <c r="C76" s="26">
        <v>0.31</v>
      </c>
      <c r="D76" s="8" t="s">
        <v>114</v>
      </c>
      <c r="E76" s="27"/>
      <c r="F76" s="10"/>
      <c r="G76" s="10"/>
    </row>
    <row r="77" spans="1:7" ht="19.899999999999999" customHeight="1" thickBot="1">
      <c r="A77" s="10"/>
      <c r="B77" s="2" t="s">
        <v>115</v>
      </c>
      <c r="C77" s="29">
        <v>0.08</v>
      </c>
      <c r="D77" s="9" t="s">
        <v>116</v>
      </c>
      <c r="E77" s="30"/>
      <c r="F77" s="10"/>
      <c r="G77" s="10"/>
    </row>
    <row r="78" spans="1:7" thickBot="1">
      <c r="A78" s="10"/>
      <c r="B78" s="11"/>
      <c r="C78" s="12"/>
      <c r="D78" s="4"/>
      <c r="E78" s="5" t="str">
        <f>MID(B73,18,2)&amp;" "&amp;MID(B73,22,LEN(B73)-32)</f>
        <v/>
      </c>
      <c r="F78" s="6" t="str">
        <f>IF(SUM(C74:C77)=0,"",SUMPRODUCT(C74:C77,N(E74:E77&lt;&gt;""))/SUM(C74:C77))</f>
        <v/>
      </c>
      <c r="G78" s="10"/>
    </row>
    <row r="79" spans="1:7" thickBot="1">
      <c r="A79" s="10"/>
      <c r="B79" s="10"/>
      <c r="C79" s="10"/>
      <c r="D79" s="10"/>
      <c r="E79" s="10"/>
      <c r="F79" s="16" t="str">
        <f>1-F78</f>
        <v/>
      </c>
      <c r="G79" s="10"/>
    </row>
    <row r="80" spans="1:7">
      <c r="A80" s="10"/>
      <c r="B80" s="10"/>
      <c r="C80" s="10"/>
      <c r="D80" s="10"/>
      <c r="E80" s="10"/>
      <c r="F80" s="10"/>
      <c r="G80" s="10"/>
    </row>
    <row r="81" spans="1:7">
      <c r="A81" s="10"/>
      <c r="B81" s="3" t="s">
        <v>117</v>
      </c>
      <c r="C81" s="17" t="s">
        <v>6</v>
      </c>
      <c r="D81" s="17" t="s">
        <v>7</v>
      </c>
      <c r="E81" s="18" t="s">
        <v>8</v>
      </c>
      <c r="F81" s="10"/>
      <c r="G81" s="10"/>
    </row>
    <row r="82" spans="1:7" ht="19.899999999999999" customHeight="1">
      <c r="A82" s="10"/>
      <c r="B82" s="1" t="s">
        <v>118</v>
      </c>
      <c r="C82" s="26">
        <v>0.4</v>
      </c>
      <c r="D82" s="8" t="s">
        <v>119</v>
      </c>
      <c r="E82" s="27"/>
      <c r="F82" s="10"/>
      <c r="G82" s="10"/>
    </row>
    <row r="83" spans="1:7" s="7" customFormat="1" ht="34.9" customHeight="1">
      <c r="A83" s="10"/>
      <c r="B83" s="2" t="s">
        <v>120</v>
      </c>
      <c r="C83" s="29">
        <v>0.4</v>
      </c>
      <c r="D83" s="9" t="s">
        <v>121</v>
      </c>
      <c r="E83" s="30"/>
      <c r="F83" s="10"/>
      <c r="G83" s="10"/>
    </row>
    <row r="84" spans="1:7" s="7" customFormat="1" thickBot="1">
      <c r="A84" s="10"/>
      <c r="B84" s="11"/>
      <c r="C84" s="12"/>
      <c r="D84" s="4"/>
      <c r="E84" s="5" t="str">
        <f>MID(B81,18,2)&amp;" "&amp;MID(B81,22,LEN(B81)-32)</f>
        <v/>
      </c>
      <c r="F84" s="6" t="str">
        <f>IF(SUM(C82:C83)=0,"",SUMPRODUCT(C82:C83,N(E82:E83&lt;&gt;""))/SUM(C82:C83))</f>
        <v/>
      </c>
      <c r="G84" s="10"/>
    </row>
    <row r="85" spans="1:7" thickBot="1">
      <c r="A85" s="10"/>
      <c r="B85" s="10"/>
      <c r="C85" s="10"/>
      <c r="D85" s="10"/>
      <c r="E85" s="10"/>
      <c r="F85" s="16" t="str">
        <f>1-F84</f>
        <v/>
      </c>
      <c r="G85" s="10"/>
    </row>
    <row r="86" spans="1:7" thickBot="1">
      <c r="A86" s="10"/>
      <c r="B86" s="10"/>
      <c r="C86" s="10"/>
      <c r="D86" s="10"/>
      <c r="E86" s="10"/>
      <c r="F86" s="10"/>
      <c r="G86" s="10"/>
    </row>
    <row r="87" spans="1:7" thickBot="1">
      <c r="A87" s="10"/>
      <c r="B87" s="3" t="s">
        <v>122</v>
      </c>
      <c r="C87" s="17" t="s">
        <v>6</v>
      </c>
      <c r="D87" s="17" t="s">
        <v>7</v>
      </c>
      <c r="E87" s="18" t="s">
        <v>8</v>
      </c>
      <c r="F87" s="10"/>
      <c r="G87" s="10"/>
    </row>
    <row r="88" spans="1:7" ht="19.899999999999999" customHeight="1">
      <c r="A88" s="10"/>
      <c r="B88" s="1" t="s">
        <v>123</v>
      </c>
      <c r="C88" s="26">
        <v>0.17</v>
      </c>
      <c r="D88" s="8" t="s">
        <v>124</v>
      </c>
      <c r="E88" s="27"/>
      <c r="F88" s="10"/>
      <c r="G88" s="10"/>
    </row>
    <row r="89" spans="1:7" s="7" customFormat="1" ht="34.9" customHeight="1" thickBot="1">
      <c r="A89" s="10"/>
      <c r="B89" s="1" t="s">
        <v>125</v>
      </c>
      <c r="C89" s="26">
        <v>0.42</v>
      </c>
      <c r="D89" s="8" t="s">
        <v>126</v>
      </c>
      <c r="E89" s="27"/>
      <c r="F89" s="10"/>
      <c r="G89" s="10"/>
    </row>
    <row r="90" spans="1:7" ht="34.9" customHeight="1" thickBot="1">
      <c r="A90" s="10"/>
      <c r="B90" s="2" t="s">
        <v>127</v>
      </c>
      <c r="C90" s="29">
        <v>0.11</v>
      </c>
      <c r="D90" s="9" t="s">
        <v>128</v>
      </c>
      <c r="E90" s="30"/>
      <c r="F90" s="10"/>
      <c r="G90" s="10"/>
    </row>
    <row r="91" spans="1:7" thickBot="1">
      <c r="A91" s="10"/>
      <c r="B91" s="11"/>
      <c r="C91" s="12"/>
      <c r="D91" s="4"/>
      <c r="E91" s="5" t="str">
        <f>MID(B87,18,2)&amp;" "&amp;MID(B87,22,LEN(B87)-32)</f>
        <v/>
      </c>
      <c r="F91" s="6" t="str">
        <f>IF(SUM(C88:C90)=0,"",SUMPRODUCT(C88:C90,N(E88:E90&lt;&gt;""))/SUM(C88:C90))</f>
        <v/>
      </c>
      <c r="G91" s="10"/>
    </row>
    <row r="92" spans="1:7" thickBot="1">
      <c r="A92" s="10"/>
      <c r="B92" s="10"/>
      <c r="C92" s="10"/>
      <c r="D92" s="10"/>
      <c r="E92" s="10"/>
      <c r="F92" s="16" t="str">
        <f>1-F91</f>
        <v/>
      </c>
      <c r="G92" s="10"/>
    </row>
    <row r="93" spans="1:7">
      <c r="A93" s="10"/>
      <c r="B93" s="10"/>
      <c r="C93" s="10"/>
      <c r="D93" s="10"/>
      <c r="E93" s="10"/>
      <c r="F93" s="10"/>
      <c r="G93" s="10"/>
    </row>
    <row r="94" spans="1:7" s="7" customFormat="1">
      <c r="A94" s="10"/>
      <c r="B94" s="3" t="s">
        <v>129</v>
      </c>
      <c r="C94" s="17" t="s">
        <v>6</v>
      </c>
      <c r="D94" s="17" t="s">
        <v>7</v>
      </c>
      <c r="E94" s="18" t="s">
        <v>8</v>
      </c>
      <c r="F94" s="10"/>
      <c r="G94" s="10"/>
    </row>
    <row r="95" spans="1:7" s="7" customFormat="1" ht="19.899999999999999" customHeight="1" thickBot="1">
      <c r="A95" s="10"/>
      <c r="B95" s="1" t="s">
        <v>130</v>
      </c>
      <c r="C95" s="26">
        <v>0.21</v>
      </c>
      <c r="D95" s="8" t="s">
        <v>131</v>
      </c>
      <c r="E95" s="27"/>
      <c r="F95" s="10"/>
      <c r="G95" s="10"/>
    </row>
    <row r="96" spans="1:7" ht="19.899999999999999" customHeight="1" thickBot="1">
      <c r="A96" s="10"/>
      <c r="B96" s="1" t="s">
        <v>132</v>
      </c>
      <c r="C96" s="26">
        <v>0.21</v>
      </c>
      <c r="D96" s="8" t="s">
        <v>133</v>
      </c>
      <c r="E96" s="27"/>
      <c r="F96" s="10"/>
      <c r="G96" s="10"/>
    </row>
    <row r="97" spans="1:7" ht="19.899999999999999" customHeight="1" thickBot="1">
      <c r="A97" s="10"/>
      <c r="B97" s="1" t="s">
        <v>134</v>
      </c>
      <c r="C97" s="26">
        <v>0.11</v>
      </c>
      <c r="D97" s="8" t="s">
        <v>135</v>
      </c>
      <c r="E97" s="27"/>
      <c r="F97" s="10"/>
      <c r="G97" s="10"/>
    </row>
    <row r="98" spans="1:7" ht="19.899999999999999" customHeight="1" thickBot="1">
      <c r="A98" s="10"/>
      <c r="B98" s="1" t="s">
        <v>136</v>
      </c>
      <c r="C98" s="26">
        <v>0.09</v>
      </c>
      <c r="D98" s="8" t="s">
        <v>137</v>
      </c>
      <c r="E98" s="27"/>
      <c r="F98" s="10"/>
      <c r="G98" s="10"/>
    </row>
    <row r="99" spans="1:7" ht="19.899999999999999" customHeight="1">
      <c r="A99" s="10"/>
      <c r="B99" s="2" t="s">
        <v>138</v>
      </c>
      <c r="C99" s="29">
        <v>0.09</v>
      </c>
      <c r="D99" s="9" t="s">
        <v>139</v>
      </c>
      <c r="E99" s="30"/>
      <c r="F99" s="10"/>
      <c r="G99" s="10"/>
    </row>
    <row r="100" spans="1:7">
      <c r="A100" s="10"/>
      <c r="B100" s="11"/>
      <c r="C100" s="12"/>
      <c r="D100" s="4"/>
      <c r="E100" s="5" t="str">
        <f>MID(B94,18,2)&amp;" "&amp;MID(B94,22,LEN(B94)-32)</f>
        <v/>
      </c>
      <c r="F100" s="6" t="str">
        <f>IF(SUM(C95:C99)=0,"",SUMPRODUCT(C95:C99,N(E95:E99&lt;&gt;""))/SUM(C95:C99))</f>
        <v/>
      </c>
      <c r="G100" s="10"/>
    </row>
    <row r="101" spans="1:7" s="7" customFormat="1">
      <c r="A101" s="10"/>
      <c r="B101" s="10"/>
      <c r="C101" s="10"/>
      <c r="D101" s="10"/>
      <c r="E101" s="10"/>
      <c r="F101" s="16" t="str">
        <f>1-F100</f>
        <v/>
      </c>
      <c r="G101" s="10"/>
    </row>
    <row r="102" spans="1:7" s="7" customFormat="1" thickBot="1">
      <c r="A102" s="10"/>
      <c r="B102" s="10"/>
      <c r="C102" s="10"/>
      <c r="D102" s="10"/>
      <c r="E102" s="10"/>
      <c r="F102" s="10"/>
      <c r="G102" s="10"/>
    </row>
    <row r="103" spans="1:7" thickBot="1">
      <c r="A103" s="10"/>
      <c r="B103" s="3" t="s">
        <v>140</v>
      </c>
      <c r="C103" s="17" t="s">
        <v>6</v>
      </c>
      <c r="D103" s="17" t="s">
        <v>7</v>
      </c>
      <c r="E103" s="18" t="s">
        <v>8</v>
      </c>
      <c r="F103" s="10"/>
      <c r="G103" s="10"/>
    </row>
    <row r="104" spans="1:7" ht="19.899999999999999" customHeight="1" thickBot="1">
      <c r="A104" s="10"/>
      <c r="B104" s="1" t="s">
        <v>141</v>
      </c>
      <c r="C104" s="26">
        <v>0.21</v>
      </c>
      <c r="D104" s="8" t="s">
        <v>142</v>
      </c>
      <c r="E104" s="27"/>
      <c r="F104" s="10"/>
      <c r="G104" s="10"/>
    </row>
    <row r="105" spans="1:7" ht="19.899999999999999" customHeight="1" thickBot="1">
      <c r="A105" s="10"/>
      <c r="B105" s="1" t="s">
        <v>143</v>
      </c>
      <c r="C105" s="26">
        <v>0.11</v>
      </c>
      <c r="D105" s="8" t="s">
        <v>144</v>
      </c>
      <c r="E105" s="27"/>
      <c r="F105" s="10"/>
      <c r="G105" s="10"/>
    </row>
    <row r="106" spans="1:7" ht="19.899999999999999" customHeight="1">
      <c r="A106" s="10"/>
      <c r="B106" s="1" t="s">
        <v>145</v>
      </c>
      <c r="C106" s="26">
        <v>0.09</v>
      </c>
      <c r="D106" s="8" t="s">
        <v>146</v>
      </c>
      <c r="E106" s="27"/>
      <c r="F106" s="10"/>
      <c r="G106" s="10"/>
    </row>
    <row r="107" spans="1:7" ht="34.9" customHeight="1">
      <c r="A107" s="10"/>
      <c r="B107" s="2" t="s">
        <v>147</v>
      </c>
      <c r="C107" s="29">
        <v>0.2</v>
      </c>
      <c r="D107" s="9" t="s">
        <v>148</v>
      </c>
      <c r="E107" s="30"/>
      <c r="F107" s="10"/>
      <c r="G107" s="10"/>
    </row>
    <row r="108" spans="1:7" s="7" customFormat="1">
      <c r="A108" s="10"/>
      <c r="B108" s="11"/>
      <c r="C108" s="12"/>
      <c r="D108" s="4"/>
      <c r="E108" s="5" t="str">
        <f>MID(B103,18,2)&amp;" "&amp;MID(B103,22,LEN(B103)-32)</f>
        <v/>
      </c>
      <c r="F108" s="6" t="str">
        <f>IF(SUM(C104:C107)=0,"",SUMPRODUCT(C104:C107,N(E104:E107&lt;&gt;""))/SUM(C104:C107))</f>
        <v/>
      </c>
      <c r="G108" s="10"/>
    </row>
    <row r="109" spans="1:7" s="7" customFormat="1" thickBot="1">
      <c r="A109" s="10"/>
      <c r="B109" s="10"/>
      <c r="C109" s="10"/>
      <c r="D109" s="10"/>
      <c r="E109" s="10"/>
      <c r="F109" s="16" t="str">
        <f>1-F108</f>
        <v/>
      </c>
      <c r="G109" s="10"/>
    </row>
    <row r="110" spans="1:7" thickBot="1">
      <c r="A110" s="10"/>
      <c r="B110" s="10"/>
      <c r="C110" s="10"/>
      <c r="D110" s="10"/>
      <c r="E110" s="10"/>
      <c r="F110" s="10"/>
      <c r="G110" s="10"/>
    </row>
    <row r="111" spans="1:7">
      <c r="A111" s="10"/>
      <c r="B111" s="3" t="s">
        <v>149</v>
      </c>
      <c r="C111" s="17" t="s">
        <v>6</v>
      </c>
      <c r="D111" s="17" t="s">
        <v>7</v>
      </c>
      <c r="E111" s="18" t="s">
        <v>8</v>
      </c>
      <c r="F111" s="10"/>
      <c r="G111" s="10"/>
    </row>
    <row r="112" spans="1:7" ht="34.9" customHeight="1">
      <c r="A112" s="10"/>
      <c r="B112" s="1" t="s">
        <v>150</v>
      </c>
      <c r="C112" s="26">
        <v>0.3</v>
      </c>
      <c r="D112" s="8" t="s">
        <v>151</v>
      </c>
      <c r="E112" s="27"/>
      <c r="F112" s="10"/>
      <c r="G112" s="10"/>
    </row>
    <row r="113" spans="1:7" ht="34.9" customHeight="1">
      <c r="A113" s="10"/>
      <c r="B113" s="1" t="s">
        <v>152</v>
      </c>
      <c r="C113" s="26">
        <v>0.54</v>
      </c>
      <c r="D113" s="8" t="s">
        <v>153</v>
      </c>
      <c r="E113" s="27"/>
      <c r="F113" s="10"/>
      <c r="G113" s="10"/>
    </row>
    <row r="114" spans="1:7" ht="34.9" customHeight="1">
      <c r="A114" s="10"/>
      <c r="B114" s="1" t="s">
        <v>154</v>
      </c>
      <c r="C114" s="26">
        <v>0.11</v>
      </c>
      <c r="D114" s="8" t="s">
        <v>155</v>
      </c>
      <c r="E114" s="27"/>
      <c r="F114" s="10"/>
      <c r="G114" s="10"/>
    </row>
    <row r="115" spans="1:7" ht="19.899999999999999" customHeight="1">
      <c r="A115" s="10"/>
      <c r="B115" s="1" t="s">
        <v>156</v>
      </c>
      <c r="C115" s="26">
        <v>0.15</v>
      </c>
      <c r="D115" s="8" t="s">
        <v>157</v>
      </c>
      <c r="E115" s="27"/>
      <c r="F115" s="10"/>
      <c r="G115" s="10"/>
    </row>
    <row r="116" spans="1:7" ht="34.9" customHeight="1">
      <c r="A116" s="10"/>
      <c r="B116" s="1" t="s">
        <v>158</v>
      </c>
      <c r="C116" s="26">
        <v>0.25</v>
      </c>
      <c r="D116" s="8" t="s">
        <v>159</v>
      </c>
      <c r="E116" s="27"/>
      <c r="F116" s="10"/>
      <c r="G116" s="10"/>
    </row>
    <row r="117" spans="1:7" ht="34.9" customHeight="1">
      <c r="A117" s="10"/>
      <c r="B117" s="1" t="s">
        <v>160</v>
      </c>
      <c r="C117" s="26">
        <v>0.22</v>
      </c>
      <c r="D117" s="8" t="s">
        <v>161</v>
      </c>
      <c r="E117" s="27"/>
      <c r="F117" s="10"/>
      <c r="G117" s="10"/>
    </row>
    <row r="118" spans="1:7" ht="34.9" customHeight="1">
      <c r="A118" s="10"/>
      <c r="B118" s="1" t="s">
        <v>162</v>
      </c>
      <c r="C118" s="26">
        <v>0.09</v>
      </c>
      <c r="D118" s="8" t="s">
        <v>163</v>
      </c>
      <c r="E118" s="27"/>
      <c r="F118" s="10"/>
      <c r="G118" s="10"/>
    </row>
    <row r="119" spans="1:7" ht="19.899999999999999" customHeight="1">
      <c r="A119" s="10"/>
      <c r="B119" s="2" t="s">
        <v>164</v>
      </c>
      <c r="C119" s="29">
        <v>0.1</v>
      </c>
      <c r="D119" s="9" t="s">
        <v>165</v>
      </c>
      <c r="E119" s="30"/>
      <c r="F119" s="10"/>
      <c r="G119" s="10"/>
    </row>
    <row r="120" spans="1:7">
      <c r="A120" s="10"/>
      <c r="B120" s="11"/>
      <c r="C120" s="12"/>
      <c r="D120" s="4"/>
      <c r="E120" s="5" t="str">
        <f>MID(B111,18,2)&amp;" "&amp;MID(B111,22,LEN(B111)-32)</f>
        <v/>
      </c>
      <c r="F120" s="6" t="str">
        <f>IF(SUM(C112:C119)=0,"",SUMPRODUCT(C112:C119,N(E112:E119&lt;&gt;""))/SUM(C112:C119))</f>
        <v/>
      </c>
      <c r="G120" s="10"/>
    </row>
    <row r="121" spans="1:7">
      <c r="A121" s="10"/>
      <c r="B121" s="10"/>
      <c r="C121" s="10"/>
      <c r="D121" s="10"/>
      <c r="E121" s="10"/>
      <c r="F121" s="16" t="str">
        <f>1-F120</f>
        <v/>
      </c>
      <c r="G121" s="10"/>
    </row>
    <row r="122" spans="1:7">
      <c r="A122" s="10"/>
      <c r="B122" s="10"/>
      <c r="C122" s="10"/>
      <c r="D122" s="10"/>
      <c r="E122" s="10"/>
      <c r="F122" s="10"/>
      <c r="G122" s="10"/>
    </row>
    <row r="123" spans="1:7">
      <c r="A123" s="10"/>
      <c r="B123" s="3" t="s">
        <v>166</v>
      </c>
      <c r="C123" s="17" t="s">
        <v>6</v>
      </c>
      <c r="D123" s="17" t="s">
        <v>7</v>
      </c>
      <c r="E123" s="18" t="s">
        <v>8</v>
      </c>
      <c r="F123" s="10"/>
      <c r="G123" s="10"/>
    </row>
    <row r="124" spans="1:7" ht="19.899999999999999" customHeight="1">
      <c r="A124" s="10"/>
      <c r="B124" s="1" t="s">
        <v>167</v>
      </c>
      <c r="C124" s="26">
        <v>0.2</v>
      </c>
      <c r="D124" s="8" t="s">
        <v>168</v>
      </c>
      <c r="E124" s="27"/>
      <c r="F124" s="10"/>
      <c r="G124" s="10"/>
    </row>
    <row r="125" spans="1:7" ht="34.9" customHeight="1">
      <c r="A125" s="10"/>
      <c r="B125" s="1" t="s">
        <v>169</v>
      </c>
      <c r="C125" s="26">
        <v>0.2</v>
      </c>
      <c r="D125" s="8" t="s">
        <v>170</v>
      </c>
      <c r="E125" s="27"/>
      <c r="F125" s="10"/>
      <c r="G125" s="10"/>
    </row>
    <row r="126" spans="1:7" ht="19.899999999999999" customHeight="1">
      <c r="A126" s="10"/>
      <c r="B126" s="1" t="s">
        <v>171</v>
      </c>
      <c r="C126" s="26">
        <v>0.18</v>
      </c>
      <c r="D126" s="8" t="s">
        <v>172</v>
      </c>
      <c r="E126" s="27"/>
      <c r="F126" s="10"/>
      <c r="G126" s="10"/>
    </row>
    <row r="127" spans="1:7" ht="19.899999999999999" customHeight="1">
      <c r="A127" s="10"/>
      <c r="B127" s="1" t="s">
        <v>173</v>
      </c>
      <c r="C127" s="26">
        <v>0.09</v>
      </c>
      <c r="D127" s="8" t="s">
        <v>174</v>
      </c>
      <c r="E127" s="27"/>
      <c r="F127" s="10"/>
      <c r="G127" s="10"/>
    </row>
    <row r="128" spans="1:7" ht="19.899999999999999" customHeight="1">
      <c r="A128" s="10"/>
      <c r="B128" s="1" t="s">
        <v>175</v>
      </c>
      <c r="C128" s="26">
        <v>0.15</v>
      </c>
      <c r="D128" s="8" t="s">
        <v>176</v>
      </c>
      <c r="E128" s="27"/>
      <c r="F128" s="10"/>
      <c r="G128" s="10"/>
    </row>
    <row r="129" spans="1:7" ht="19.899999999999999" customHeight="1">
      <c r="A129" s="10"/>
      <c r="B129" s="1" t="s">
        <v>177</v>
      </c>
      <c r="C129" s="26">
        <v>0.11</v>
      </c>
      <c r="D129" s="8" t="s">
        <v>178</v>
      </c>
      <c r="E129" s="27"/>
      <c r="F129" s="10"/>
      <c r="G129" s="10"/>
    </row>
    <row r="130" spans="1:7" ht="19.899999999999999" customHeight="1">
      <c r="A130" s="10"/>
      <c r="B130" s="1" t="s">
        <v>179</v>
      </c>
      <c r="C130" s="26">
        <v>0.28999999999999998</v>
      </c>
      <c r="D130" s="8" t="s">
        <v>180</v>
      </c>
      <c r="E130" s="27"/>
      <c r="F130" s="10"/>
      <c r="G130" s="10"/>
    </row>
    <row r="131" spans="1:7" ht="19.899999999999999" customHeight="1">
      <c r="A131" s="10"/>
      <c r="B131" s="2" t="s">
        <v>181</v>
      </c>
      <c r="C131" s="29">
        <v>0.2</v>
      </c>
      <c r="D131" s="9" t="s">
        <v>182</v>
      </c>
      <c r="E131" s="30"/>
      <c r="F131" s="10"/>
      <c r="G131" s="10"/>
    </row>
    <row r="132" spans="1:7">
      <c r="A132" s="10"/>
      <c r="B132" s="11"/>
      <c r="C132" s="12"/>
      <c r="D132" s="4"/>
      <c r="E132" s="5" t="str">
        <f>MID(B123,18,2)&amp;" "&amp;MID(B123,22,LEN(B123)-32)</f>
        <v/>
      </c>
      <c r="F132" s="6" t="str">
        <f>IF(SUM(C124:C131)=0,"",SUMPRODUCT(C124:C131,N(E124:E131&lt;&gt;""))/SUM(C124:C131))</f>
        <v/>
      </c>
      <c r="G132" s="10"/>
    </row>
    <row r="133" spans="1:7">
      <c r="A133" s="10"/>
      <c r="B133" s="10"/>
      <c r="C133" s="10"/>
      <c r="D133" s="10"/>
      <c r="E133" s="10"/>
      <c r="F133" s="16" t="str">
        <f>1-F132</f>
        <v/>
      </c>
      <c r="G133" s="10"/>
    </row>
    <row r="134" spans="1:7">
      <c r="A134" s="10"/>
      <c r="B134" s="10"/>
      <c r="C134" s="10"/>
      <c r="D134" s="10"/>
      <c r="E134" s="10"/>
      <c r="F134" s="10"/>
      <c r="G134" s="10"/>
    </row>
    <row r="135" spans="1:7">
      <c r="A135" s="10"/>
      <c r="B135" s="3" t="s">
        <v>183</v>
      </c>
      <c r="C135" s="17" t="s">
        <v>6</v>
      </c>
      <c r="D135" s="17" t="s">
        <v>7</v>
      </c>
      <c r="E135" s="18" t="s">
        <v>8</v>
      </c>
      <c r="F135" s="10"/>
      <c r="G135" s="10"/>
    </row>
    <row r="136" spans="1:7" ht="34.9" customHeight="1">
      <c r="A136" s="10"/>
      <c r="B136" s="1" t="s">
        <v>184</v>
      </c>
      <c r="C136" s="26">
        <v>0.51</v>
      </c>
      <c r="D136" s="8" t="s">
        <v>185</v>
      </c>
      <c r="E136" s="27"/>
      <c r="F136" s="10"/>
      <c r="G136" s="10"/>
    </row>
    <row r="137" spans="1:7" ht="19.899999999999999" customHeight="1">
      <c r="A137" s="10"/>
      <c r="B137" s="1" t="s">
        <v>186</v>
      </c>
      <c r="C137" s="26">
        <v>0.19</v>
      </c>
      <c r="D137" s="8" t="s">
        <v>187</v>
      </c>
      <c r="E137" s="27"/>
      <c r="F137" s="10"/>
      <c r="G137" s="10"/>
    </row>
    <row r="138" spans="1:7" ht="19.899999999999999" customHeight="1">
      <c r="A138" s="10"/>
      <c r="B138" s="2" t="s">
        <v>188</v>
      </c>
      <c r="C138" s="29">
        <v>0.1</v>
      </c>
      <c r="D138" s="9" t="s">
        <v>189</v>
      </c>
      <c r="E138" s="30"/>
      <c r="F138" s="10"/>
      <c r="G138" s="10"/>
    </row>
    <row r="139" spans="1:7">
      <c r="A139" s="10"/>
      <c r="B139" s="11"/>
      <c r="C139" s="12"/>
      <c r="D139" s="4"/>
      <c r="E139" s="5" t="str">
        <f>MID(B135,18,2)&amp;" "&amp;MID(B135,22,LEN(B135)-32)</f>
        <v/>
      </c>
      <c r="F139" s="6" t="str">
        <f>IF(SUM(C136:C138)=0,"",SUMPRODUCT(C136:C138,N(E136:E138&lt;&gt;""))/SUM(C136:C138))</f>
        <v/>
      </c>
      <c r="G139" s="10"/>
    </row>
    <row r="140" spans="1:7">
      <c r="A140" s="10"/>
      <c r="B140" s="10"/>
      <c r="C140" s="10"/>
      <c r="D140" s="10"/>
      <c r="E140" s="10"/>
      <c r="F140" s="16" t="str">
        <f>1-F139</f>
        <v/>
      </c>
      <c r="G140" s="10"/>
    </row>
    <row r="141" spans="1:7">
      <c r="A141" s="10"/>
      <c r="B141" s="10"/>
      <c r="C141" s="10"/>
      <c r="D141" s="10"/>
      <c r="E141" s="10"/>
      <c r="F141" s="10"/>
      <c r="G141" s="10"/>
    </row>
    <row r="142" spans="1:7">
      <c r="A142" s="10"/>
      <c r="B142" s="3" t="s">
        <v>190</v>
      </c>
      <c r="C142" s="17" t="s">
        <v>6</v>
      </c>
      <c r="D142" s="17" t="s">
        <v>7</v>
      </c>
      <c r="E142" s="18" t="s">
        <v>8</v>
      </c>
      <c r="F142" s="10"/>
      <c r="G142" s="10"/>
    </row>
    <row r="143" spans="1:7" ht="34.9" customHeight="1">
      <c r="A143" s="10"/>
      <c r="B143" s="1" t="s">
        <v>191</v>
      </c>
      <c r="C143" s="26">
        <v>0.28999999999999998</v>
      </c>
      <c r="D143" s="8" t="s">
        <v>192</v>
      </c>
      <c r="E143" s="27"/>
      <c r="F143" s="10"/>
      <c r="G143" s="10"/>
    </row>
    <row r="144" spans="1:7" ht="19.899999999999999" customHeight="1">
      <c r="A144" s="10"/>
      <c r="B144" s="1" t="s">
        <v>193</v>
      </c>
      <c r="C144" s="26">
        <v>0.2</v>
      </c>
      <c r="D144" s="8" t="s">
        <v>194</v>
      </c>
      <c r="E144" s="27"/>
      <c r="F144" s="10"/>
      <c r="G144" s="10"/>
    </row>
    <row r="145" spans="1:7" ht="19.899999999999999" customHeight="1">
      <c r="A145" s="10"/>
      <c r="B145" s="1" t="s">
        <v>195</v>
      </c>
      <c r="C145" s="26">
        <v>0.08</v>
      </c>
      <c r="D145" s="8" t="s">
        <v>196</v>
      </c>
      <c r="E145" s="27"/>
      <c r="F145" s="10"/>
      <c r="G145" s="10"/>
    </row>
    <row r="146" spans="1:7" ht="34.9" customHeight="1">
      <c r="A146" s="10"/>
      <c r="B146" s="1" t="s">
        <v>197</v>
      </c>
      <c r="C146" s="26">
        <v>0.11</v>
      </c>
      <c r="D146" s="8" t="s">
        <v>198</v>
      </c>
      <c r="E146" s="27"/>
      <c r="F146" s="10"/>
      <c r="G146" s="10"/>
    </row>
    <row r="147" spans="1:7" ht="19.899999999999999" customHeight="1">
      <c r="A147" s="10"/>
      <c r="B147" s="2" t="s">
        <v>199</v>
      </c>
      <c r="C147" s="29">
        <v>0.11</v>
      </c>
      <c r="D147" s="9" t="s">
        <v>200</v>
      </c>
      <c r="E147" s="30"/>
      <c r="F147" s="10"/>
      <c r="G147" s="10"/>
    </row>
    <row r="148" spans="1:7">
      <c r="A148" s="10"/>
      <c r="B148" s="11"/>
      <c r="C148" s="12"/>
      <c r="D148" s="4"/>
      <c r="E148" s="5" t="str">
        <f>MID(B142,18,2)&amp;" "&amp;MID(B142,22,LEN(B142)-32)</f>
        <v/>
      </c>
      <c r="F148" s="6" t="str">
        <f>IF(SUM(C143:C147)=0,"",SUMPRODUCT(C143:C147,N(E143:E147&lt;&gt;""))/SUM(C143:C147))</f>
        <v/>
      </c>
      <c r="G148" s="10"/>
    </row>
    <row r="149" spans="1:7">
      <c r="A149" s="10"/>
      <c r="B149" s="10"/>
      <c r="C149" s="10"/>
      <c r="D149" s="10"/>
      <c r="E149" s="10"/>
      <c r="F149" s="16" t="str">
        <f>1-F148</f>
        <v/>
      </c>
      <c r="G149" s="10"/>
    </row>
    <row r="150" spans="1:7">
      <c r="A150" s="10"/>
      <c r="B150" s="10"/>
      <c r="C150" s="10"/>
      <c r="D150" s="10"/>
      <c r="E150" s="10"/>
      <c r="F150" s="10"/>
      <c r="G150" s="10"/>
    </row>
    <row r="151" spans="1:7">
      <c r="A151" s="10"/>
      <c r="B151" s="3" t="s">
        <v>201</v>
      </c>
      <c r="C151" s="17" t="s">
        <v>6</v>
      </c>
      <c r="D151" s="17" t="s">
        <v>7</v>
      </c>
      <c r="E151" s="18" t="s">
        <v>8</v>
      </c>
      <c r="F151" s="10"/>
      <c r="G151" s="10"/>
    </row>
    <row r="152" spans="1:7" ht="19.899999999999999" customHeight="1">
      <c r="A152" s="10"/>
      <c r="B152" s="1" t="s">
        <v>202</v>
      </c>
      <c r="C152" s="26">
        <v>0.08</v>
      </c>
      <c r="D152" s="8" t="s">
        <v>203</v>
      </c>
      <c r="E152" s="27"/>
      <c r="F152" s="10"/>
      <c r="G152" s="10"/>
    </row>
    <row r="153" spans="1:7" ht="34.9" customHeight="1">
      <c r="A153" s="10"/>
      <c r="B153" s="1" t="s">
        <v>204</v>
      </c>
      <c r="C153" s="26">
        <v>0.1</v>
      </c>
      <c r="D153" s="8" t="s">
        <v>205</v>
      </c>
      <c r="E153" s="27"/>
      <c r="F153" s="10"/>
      <c r="G153" s="10"/>
    </row>
    <row r="154" spans="1:7" ht="34.9" customHeight="1">
      <c r="A154" s="10"/>
      <c r="B154" s="1" t="s">
        <v>206</v>
      </c>
      <c r="C154" s="26">
        <v>0.09</v>
      </c>
      <c r="D154" s="8" t="s">
        <v>207</v>
      </c>
      <c r="E154" s="27"/>
      <c r="F154" s="10"/>
      <c r="G154" s="10"/>
    </row>
    <row r="155" spans="1:7" ht="19.899999999999999" customHeight="1">
      <c r="A155" s="10"/>
      <c r="B155" s="1" t="s">
        <v>208</v>
      </c>
      <c r="C155" s="26">
        <v>0.09</v>
      </c>
      <c r="D155" s="8" t="s">
        <v>209</v>
      </c>
      <c r="E155" s="27"/>
      <c r="F155" s="10"/>
      <c r="G155" s="10"/>
    </row>
    <row r="156" spans="1:7" ht="34.9" customHeight="1">
      <c r="A156" s="10"/>
      <c r="B156" s="2" t="s">
        <v>210</v>
      </c>
      <c r="C156" s="29">
        <v>0.08</v>
      </c>
      <c r="D156" s="9" t="s">
        <v>211</v>
      </c>
      <c r="E156" s="30"/>
      <c r="F156" s="10"/>
      <c r="G156" s="10"/>
    </row>
    <row r="157" spans="1:7">
      <c r="A157" s="10"/>
      <c r="B157" s="11"/>
      <c r="C157" s="12"/>
      <c r="D157" s="4"/>
      <c r="E157" s="5" t="str">
        <f>MID(B151,18,2)&amp;" "&amp;MID(B151,22,LEN(B151)-32)</f>
        <v/>
      </c>
      <c r="F157" s="6" t="str">
        <f>IF(SUM(C152:C156)=0,"",SUMPRODUCT(C152:C156,N(E152:E156&lt;&gt;""))/SUM(C152:C156))</f>
        <v/>
      </c>
      <c r="G157" s="10"/>
    </row>
    <row r="158" spans="1:7">
      <c r="A158" s="10"/>
      <c r="B158" s="10"/>
      <c r="C158" s="10"/>
      <c r="D158" s="10"/>
      <c r="E158" s="10"/>
      <c r="F158" s="16" t="str">
        <f>1-F157</f>
        <v/>
      </c>
      <c r="G158" s="10"/>
    </row>
    <row r="159" spans="1:7">
      <c r="A159" s="10"/>
      <c r="B159" s="10"/>
      <c r="C159" s="10"/>
      <c r="D159" s="10"/>
      <c r="E159" s="10"/>
      <c r="F159" s="10"/>
      <c r="G159" s="10"/>
    </row>
    <row r="160" spans="1:7">
      <c r="A160" s="10"/>
      <c r="B160" s="3" t="s">
        <v>212</v>
      </c>
      <c r="C160" s="17" t="s">
        <v>6</v>
      </c>
      <c r="D160" s="17" t="s">
        <v>7</v>
      </c>
      <c r="E160" s="18" t="s">
        <v>8</v>
      </c>
      <c r="F160" s="10"/>
      <c r="G160" s="10"/>
    </row>
    <row r="161" spans="1:7" ht="34.9" customHeight="1">
      <c r="A161" s="10"/>
      <c r="B161" s="1" t="s">
        <v>213</v>
      </c>
      <c r="C161" s="26">
        <v>0.12</v>
      </c>
      <c r="D161" s="8" t="s">
        <v>214</v>
      </c>
      <c r="E161" s="27"/>
      <c r="F161" s="10"/>
      <c r="G161" s="10"/>
    </row>
    <row r="162" spans="1:7" ht="34.9" customHeight="1">
      <c r="A162" s="10"/>
      <c r="B162" s="1" t="s">
        <v>215</v>
      </c>
      <c r="C162" s="26">
        <v>0.19</v>
      </c>
      <c r="D162" s="8" t="s">
        <v>216</v>
      </c>
      <c r="E162" s="27"/>
      <c r="F162" s="10"/>
      <c r="G162" s="10"/>
    </row>
    <row r="163" spans="1:7" ht="34.9" customHeight="1">
      <c r="A163" s="10"/>
      <c r="B163" s="1" t="s">
        <v>217</v>
      </c>
      <c r="C163" s="26">
        <v>0.28999999999999998</v>
      </c>
      <c r="D163" s="8" t="s">
        <v>218</v>
      </c>
      <c r="E163" s="27"/>
      <c r="F163" s="10"/>
      <c r="G163" s="10"/>
    </row>
    <row r="164" spans="1:7" ht="19.899999999999999" customHeight="1">
      <c r="A164" s="10"/>
      <c r="B164" s="1" t="s">
        <v>219</v>
      </c>
      <c r="C164" s="26">
        <v>0.33</v>
      </c>
      <c r="D164" s="8" t="s">
        <v>220</v>
      </c>
      <c r="E164" s="27"/>
      <c r="F164" s="10"/>
      <c r="G164" s="10"/>
    </row>
    <row r="165" spans="1:7" ht="19.899999999999999" customHeight="1">
      <c r="A165" s="10"/>
      <c r="B165" s="2" t="s">
        <v>221</v>
      </c>
      <c r="C165" s="29">
        <v>0.1</v>
      </c>
      <c r="D165" s="9" t="s">
        <v>222</v>
      </c>
      <c r="E165" s="30"/>
      <c r="F165" s="10"/>
      <c r="G165" s="10"/>
    </row>
    <row r="166" spans="1:7">
      <c r="A166" s="10"/>
      <c r="B166" s="11"/>
      <c r="C166" s="12"/>
      <c r="D166" s="4"/>
      <c r="E166" s="5" t="str">
        <f>MID(B160,18,2)&amp;" "&amp;MID(B160,22,LEN(B160)-32)</f>
        <v/>
      </c>
      <c r="F166" s="6" t="str">
        <f>IF(SUM(C161:C165)=0,"",SUMPRODUCT(C161:C165,N(E161:E165&lt;&gt;""))/SUM(C161:C165))</f>
        <v/>
      </c>
      <c r="G166" s="10"/>
    </row>
    <row r="167" spans="1:7">
      <c r="A167" s="10"/>
      <c r="B167" s="10"/>
      <c r="C167" s="10"/>
      <c r="D167" s="10"/>
      <c r="E167" s="10"/>
      <c r="F167" s="16" t="str">
        <f>1-F166</f>
        <v/>
      </c>
      <c r="G167" s="10"/>
    </row>
    <row r="168" spans="1:7">
      <c r="A168" s="10"/>
      <c r="B168" s="10"/>
      <c r="C168" s="10"/>
      <c r="D168" s="10"/>
      <c r="E168" s="10"/>
      <c r="F168" s="10"/>
      <c r="G168" s="10"/>
    </row>
    <row r="169" spans="1:7">
      <c r="A169" s="10"/>
      <c r="B169" s="3" t="s">
        <v>223</v>
      </c>
      <c r="C169" s="17" t="s">
        <v>6</v>
      </c>
      <c r="D169" s="17" t="s">
        <v>7</v>
      </c>
      <c r="E169" s="18" t="s">
        <v>8</v>
      </c>
      <c r="F169" s="10"/>
      <c r="G169" s="10"/>
    </row>
    <row r="170" spans="1:7" ht="19.899999999999999" customHeight="1">
      <c r="A170" s="10"/>
      <c r="B170" s="1" t="s">
        <v>224</v>
      </c>
      <c r="C170" s="26">
        <v>0.09</v>
      </c>
      <c r="D170" s="8" t="s">
        <v>225</v>
      </c>
      <c r="E170" s="27"/>
      <c r="F170" s="10"/>
      <c r="G170" s="10"/>
    </row>
    <row r="171" spans="1:7" ht="19.899999999999999" customHeight="1">
      <c r="A171" s="10"/>
      <c r="B171" s="1" t="s">
        <v>226</v>
      </c>
      <c r="C171" s="26">
        <v>0.22</v>
      </c>
      <c r="D171" s="8" t="s">
        <v>227</v>
      </c>
      <c r="E171" s="27"/>
      <c r="F171" s="10"/>
      <c r="G171" s="10"/>
    </row>
    <row r="172" spans="1:7" ht="19.899999999999999" customHeight="1">
      <c r="A172" s="10"/>
      <c r="B172" s="1" t="s">
        <v>228</v>
      </c>
      <c r="C172" s="26">
        <v>0.22</v>
      </c>
      <c r="D172" s="8" t="s">
        <v>229</v>
      </c>
      <c r="E172" s="27"/>
      <c r="F172" s="10"/>
      <c r="G172" s="10"/>
    </row>
    <row r="173" spans="1:7" ht="19.899999999999999" customHeight="1">
      <c r="A173" s="10"/>
      <c r="B173" s="1" t="s">
        <v>230</v>
      </c>
      <c r="C173" s="26">
        <v>0.19</v>
      </c>
      <c r="D173" s="8" t="s">
        <v>231</v>
      </c>
      <c r="E173" s="27"/>
      <c r="F173" s="10"/>
      <c r="G173" s="10"/>
    </row>
    <row r="174" spans="1:7" ht="19.899999999999999" customHeight="1">
      <c r="A174" s="10"/>
      <c r="B174" s="2" t="s">
        <v>232</v>
      </c>
      <c r="C174" s="29">
        <v>0.25</v>
      </c>
      <c r="D174" s="9" t="s">
        <v>233</v>
      </c>
      <c r="E174" s="30"/>
      <c r="F174" s="10"/>
      <c r="G174" s="10"/>
    </row>
    <row r="175" spans="1:7">
      <c r="A175" s="10"/>
      <c r="B175" s="11"/>
      <c r="C175" s="12"/>
      <c r="D175" s="4"/>
      <c r="E175" s="5" t="str">
        <f>MID(B169,18,2)&amp;" "&amp;MID(B169,22,LEN(B169)-32)</f>
        <v/>
      </c>
      <c r="F175" s="6" t="str">
        <f>IF(SUM(C170:C174)=0,"",SUMPRODUCT(C170:C174,N(E170:E174&lt;&gt;""))/SUM(C170:C174))</f>
        <v/>
      </c>
      <c r="G175" s="10"/>
    </row>
    <row r="176" spans="1:7">
      <c r="A176" s="10"/>
      <c r="B176" s="10"/>
      <c r="C176" s="10"/>
      <c r="D176" s="10"/>
      <c r="E176" s="10"/>
      <c r="F176" s="16" t="str">
        <f>1-F175</f>
        <v/>
      </c>
      <c r="G176" s="10"/>
    </row>
    <row r="177" spans="1:7">
      <c r="A177" s="10"/>
      <c r="B177" s="10"/>
      <c r="C177" s="10"/>
      <c r="D177" s="10"/>
      <c r="E177" s="10"/>
      <c r="F177" s="10"/>
      <c r="G177" s="10"/>
    </row>
    <row r="178" spans="1:7">
      <c r="A178" s="10"/>
      <c r="B178" s="3" t="s">
        <v>234</v>
      </c>
      <c r="C178" s="17" t="s">
        <v>6</v>
      </c>
      <c r="D178" s="17" t="s">
        <v>7</v>
      </c>
      <c r="E178" s="18" t="s">
        <v>8</v>
      </c>
      <c r="F178" s="10"/>
      <c r="G178" s="10"/>
    </row>
    <row r="179" spans="1:7" ht="19.899999999999999" customHeight="1">
      <c r="A179" s="10"/>
      <c r="B179" s="1" t="s">
        <v>235</v>
      </c>
      <c r="C179" s="26">
        <v>0.09</v>
      </c>
      <c r="D179" s="8" t="s">
        <v>236</v>
      </c>
      <c r="E179" s="27"/>
      <c r="F179" s="10"/>
      <c r="G179" s="10"/>
    </row>
    <row r="180" spans="1:7" ht="34.9" customHeight="1">
      <c r="A180" s="10"/>
      <c r="B180" s="1" t="s">
        <v>237</v>
      </c>
      <c r="C180" s="26">
        <v>0.2</v>
      </c>
      <c r="D180" s="8" t="s">
        <v>238</v>
      </c>
      <c r="E180" s="27"/>
      <c r="F180" s="10"/>
      <c r="G180" s="10"/>
    </row>
    <row r="181" spans="1:7" ht="19.899999999999999" customHeight="1">
      <c r="A181" s="10"/>
      <c r="B181" s="1" t="s">
        <v>239</v>
      </c>
      <c r="C181" s="26">
        <v>0.14000000000000001</v>
      </c>
      <c r="D181" s="8" t="s">
        <v>240</v>
      </c>
      <c r="E181" s="27"/>
      <c r="F181" s="10"/>
      <c r="G181" s="10"/>
    </row>
    <row r="182" spans="1:7" ht="19.899999999999999" customHeight="1">
      <c r="A182" s="10"/>
      <c r="B182" s="2" t="s">
        <v>241</v>
      </c>
      <c r="C182" s="29">
        <v>0.11</v>
      </c>
      <c r="D182" s="9" t="s">
        <v>242</v>
      </c>
      <c r="E182" s="30"/>
      <c r="F182" s="10"/>
      <c r="G182" s="10"/>
    </row>
    <row r="183" spans="1:7">
      <c r="A183" s="10"/>
      <c r="B183" s="11"/>
      <c r="C183" s="12"/>
      <c r="D183" s="4"/>
      <c r="E183" s="5" t="str">
        <f>MID(B178,18,2)&amp;" "&amp;MID(B178,22,LEN(B178)-32)</f>
        <v/>
      </c>
      <c r="F183" s="6" t="str">
        <f>IF(SUM(C179:C182)=0,"",SUMPRODUCT(C179:C182,N(E179:E182&lt;&gt;""))/SUM(C179:C182))</f>
        <v/>
      </c>
      <c r="G183" s="10"/>
    </row>
    <row r="184" spans="1:7">
      <c r="A184" s="10"/>
      <c r="B184" s="10"/>
      <c r="C184" s="10"/>
      <c r="D184" s="10"/>
      <c r="E184" s="10"/>
      <c r="F184" s="16" t="str">
        <f>1-F183</f>
        <v/>
      </c>
      <c r="G184" s="10"/>
    </row>
    <row r="185" spans="1:7">
      <c r="A185" s="10"/>
      <c r="B185" s="10"/>
      <c r="C185" s="10"/>
      <c r="D185" s="10"/>
      <c r="E185" s="10"/>
      <c r="F185" s="10"/>
      <c r="G185" s="10"/>
    </row>
    <row r="186" spans="1:7">
      <c r="A186" s="10"/>
      <c r="B186" s="3" t="s">
        <v>243</v>
      </c>
      <c r="C186" s="17" t="s">
        <v>6</v>
      </c>
      <c r="D186" s="17" t="s">
        <v>7</v>
      </c>
      <c r="E186" s="18" t="s">
        <v>8</v>
      </c>
      <c r="F186" s="10"/>
      <c r="G186" s="10"/>
    </row>
    <row r="187" spans="1:7" ht="19.899999999999999" customHeight="1">
      <c r="A187" s="10"/>
      <c r="B187" s="1" t="s">
        <v>244</v>
      </c>
      <c r="C187" s="26">
        <v>0.11</v>
      </c>
      <c r="D187" s="8" t="s">
        <v>245</v>
      </c>
      <c r="E187" s="27"/>
      <c r="F187" s="10"/>
      <c r="G187" s="10"/>
    </row>
    <row r="188" spans="1:7" ht="19.899999999999999" customHeight="1">
      <c r="A188" s="10"/>
      <c r="B188" s="1" t="s">
        <v>246</v>
      </c>
      <c r="C188" s="26">
        <v>0.12</v>
      </c>
      <c r="D188" s="8" t="s">
        <v>247</v>
      </c>
      <c r="E188" s="27"/>
      <c r="F188" s="10"/>
      <c r="G188" s="10"/>
    </row>
    <row r="189" spans="1:7" ht="19.899999999999999" customHeight="1">
      <c r="A189" s="10"/>
      <c r="B189" s="1" t="s">
        <v>248</v>
      </c>
      <c r="C189" s="26">
        <v>0.11</v>
      </c>
      <c r="D189" s="8" t="s">
        <v>249</v>
      </c>
      <c r="E189" s="27"/>
      <c r="F189" s="10"/>
      <c r="G189" s="10"/>
    </row>
    <row r="190" spans="1:7" ht="19.899999999999999" customHeight="1">
      <c r="A190" s="10"/>
      <c r="B190" s="2" t="s">
        <v>250</v>
      </c>
      <c r="C190" s="29">
        <v>0.11</v>
      </c>
      <c r="D190" s="9" t="s">
        <v>251</v>
      </c>
      <c r="E190" s="30"/>
      <c r="F190" s="10"/>
      <c r="G190" s="10"/>
    </row>
    <row r="191" spans="1:7">
      <c r="A191" s="10"/>
      <c r="B191" s="11"/>
      <c r="C191" s="12"/>
      <c r="D191" s="4"/>
      <c r="E191" s="5" t="str">
        <f>MID(B186,18,2)&amp;" "&amp;MID(B186,22,LEN(B186)-32)</f>
        <v/>
      </c>
      <c r="F191" s="6" t="str">
        <f>IF(SUM(C187:C190)=0,"",SUMPRODUCT(C187:C190,N(E187:E190&lt;&gt;""))/SUM(C187:C190))</f>
        <v/>
      </c>
      <c r="G191" s="10"/>
    </row>
    <row r="192" spans="1:7">
      <c r="A192" s="10"/>
      <c r="B192" s="10"/>
      <c r="C192" s="10"/>
      <c r="D192" s="10"/>
      <c r="E192" s="10"/>
      <c r="F192" s="16" t="str">
        <f>1-F191</f>
        <v/>
      </c>
      <c r="G192" s="10"/>
    </row>
    <row r="193" spans="1:7">
      <c r="A193" s="10"/>
      <c r="B193" s="10"/>
      <c r="C193" s="10"/>
      <c r="D193" s="10"/>
      <c r="E193" s="10"/>
      <c r="F193" s="10"/>
      <c r="G193" s="10"/>
    </row>
    <row r="194" spans="1:7">
      <c r="A194" s="10"/>
      <c r="B194" s="3" t="s">
        <v>252</v>
      </c>
      <c r="C194" s="17" t="s">
        <v>6</v>
      </c>
      <c r="D194" s="17" t="s">
        <v>7</v>
      </c>
      <c r="E194" s="18" t="s">
        <v>8</v>
      </c>
      <c r="F194" s="10"/>
      <c r="G194" s="10"/>
    </row>
    <row r="195" spans="1:7" ht="34.9" customHeight="1">
      <c r="A195" s="10"/>
      <c r="B195" s="1" t="s">
        <v>253</v>
      </c>
      <c r="C195" s="26">
        <v>0.28999999999999998</v>
      </c>
      <c r="D195" s="8" t="s">
        <v>254</v>
      </c>
      <c r="E195" s="27"/>
      <c r="F195" s="10"/>
      <c r="G195" s="10"/>
    </row>
    <row r="196" spans="1:7" ht="19.899999999999999" customHeight="1">
      <c r="A196" s="10"/>
      <c r="B196" s="1" t="s">
        <v>255</v>
      </c>
      <c r="C196" s="26">
        <v>0.18</v>
      </c>
      <c r="D196" s="8" t="s">
        <v>256</v>
      </c>
      <c r="E196" s="27"/>
      <c r="F196" s="10"/>
      <c r="G196" s="10"/>
    </row>
    <row r="197" spans="1:7" ht="19.899999999999999" customHeight="1">
      <c r="A197" s="10"/>
      <c r="B197" s="1" t="s">
        <v>257</v>
      </c>
      <c r="C197" s="26">
        <v>0.21</v>
      </c>
      <c r="D197" s="8" t="s">
        <v>258</v>
      </c>
      <c r="E197" s="27"/>
      <c r="F197" s="10"/>
      <c r="G197" s="10"/>
    </row>
    <row r="198" spans="1:7" ht="19.899999999999999" customHeight="1">
      <c r="A198" s="10"/>
      <c r="B198" s="2" t="s">
        <v>259</v>
      </c>
      <c r="C198" s="29">
        <v>0.12</v>
      </c>
      <c r="D198" s="9" t="s">
        <v>260</v>
      </c>
      <c r="E198" s="30"/>
      <c r="F198" s="10"/>
      <c r="G198" s="10"/>
    </row>
    <row r="199" spans="1:7">
      <c r="A199" s="10"/>
      <c r="B199" s="11"/>
      <c r="C199" s="12"/>
      <c r="D199" s="4"/>
      <c r="E199" s="5" t="str">
        <f>MID(B194,18,2)&amp;" "&amp;MID(B194,22,LEN(B194)-32)</f>
        <v/>
      </c>
      <c r="F199" s="6" t="str">
        <f>IF(SUM(C195:C198)=0,"",SUMPRODUCT(C195:C198,N(E195:E198&lt;&gt;""))/SUM(C195:C198))</f>
        <v/>
      </c>
      <c r="G199" s="10"/>
    </row>
    <row r="200" spans="1:7">
      <c r="A200" s="10"/>
      <c r="B200" s="10"/>
      <c r="C200" s="10"/>
      <c r="D200" s="10"/>
      <c r="E200" s="10"/>
      <c r="F200" s="16" t="str">
        <f>1-F199</f>
        <v/>
      </c>
      <c r="G200" s="10"/>
    </row>
    <row r="201" spans="1:7">
      <c r="A201" s="10"/>
      <c r="B201" s="10"/>
      <c r="C201" s="10"/>
      <c r="D201" s="10"/>
      <c r="E201" s="10"/>
      <c r="F201" s="10"/>
      <c r="G201" s="10"/>
    </row>
    <row r="202" spans="1:7">
      <c r="A202" s="10"/>
      <c r="B202" s="3" t="s">
        <v>261</v>
      </c>
      <c r="C202" s="17" t="s">
        <v>6</v>
      </c>
      <c r="D202" s="17" t="s">
        <v>7</v>
      </c>
      <c r="E202" s="18" t="s">
        <v>8</v>
      </c>
      <c r="F202" s="10"/>
      <c r="G202" s="10"/>
    </row>
    <row r="203" spans="1:7" ht="19.899999999999999" customHeight="1">
      <c r="A203" s="10"/>
      <c r="B203" s="1" t="s">
        <v>262</v>
      </c>
      <c r="C203" s="26">
        <v>0.1</v>
      </c>
      <c r="D203" s="8" t="s">
        <v>263</v>
      </c>
      <c r="E203" s="27"/>
      <c r="F203" s="10"/>
      <c r="G203" s="10"/>
    </row>
    <row r="204" spans="1:7" ht="19.899999999999999" customHeight="1">
      <c r="A204" s="10"/>
      <c r="B204" s="1" t="s">
        <v>264</v>
      </c>
      <c r="C204" s="26">
        <v>0.11</v>
      </c>
      <c r="D204" s="8" t="s">
        <v>265</v>
      </c>
      <c r="E204" s="27"/>
      <c r="F204" s="10"/>
      <c r="G204" s="10"/>
    </row>
    <row r="205" spans="1:7" ht="19.899999999999999" customHeight="1">
      <c r="A205" s="10"/>
      <c r="B205" s="1" t="s">
        <v>266</v>
      </c>
      <c r="C205" s="26">
        <v>0.18</v>
      </c>
      <c r="D205" s="8" t="s">
        <v>267</v>
      </c>
      <c r="E205" s="27"/>
      <c r="F205" s="10"/>
      <c r="G205" s="10"/>
    </row>
    <row r="206" spans="1:7" ht="34.9" customHeight="1">
      <c r="A206" s="10"/>
      <c r="B206" s="1" t="s">
        <v>268</v>
      </c>
      <c r="C206" s="26">
        <v>0.11</v>
      </c>
      <c r="D206" s="8" t="s">
        <v>269</v>
      </c>
      <c r="E206" s="27"/>
      <c r="F206" s="10"/>
      <c r="G206" s="10"/>
    </row>
    <row r="207" spans="1:7" ht="19.899999999999999" customHeight="1">
      <c r="A207" s="10"/>
      <c r="B207" s="2" t="s">
        <v>270</v>
      </c>
      <c r="C207" s="29">
        <v>0.11</v>
      </c>
      <c r="D207" s="9" t="s">
        <v>271</v>
      </c>
      <c r="E207" s="30"/>
      <c r="F207" s="10"/>
      <c r="G207" s="10"/>
    </row>
    <row r="208" spans="1:7">
      <c r="A208" s="10"/>
      <c r="B208" s="11"/>
      <c r="C208" s="12"/>
      <c r="D208" s="4"/>
      <c r="E208" s="5" t="str">
        <f>MID(B202,18,2)&amp;" "&amp;MID(B202,22,LEN(B202)-32)</f>
        <v/>
      </c>
      <c r="F208" s="6" t="str">
        <f>IF(SUM(C203:C207)=0,"",SUMPRODUCT(C203:C207,N(E203:E207&lt;&gt;""))/SUM(C203:C207))</f>
        <v/>
      </c>
      <c r="G208" s="10"/>
    </row>
    <row r="209" spans="1:7">
      <c r="A209" s="10"/>
      <c r="B209" s="10"/>
      <c r="C209" s="10"/>
      <c r="D209" s="10"/>
      <c r="E209" s="10"/>
      <c r="F209" s="16" t="str">
        <f>1-F208</f>
        <v/>
      </c>
      <c r="G209" s="10"/>
    </row>
    <row r="210" spans="1:7">
      <c r="A210" s="10"/>
      <c r="B210" s="10"/>
      <c r="C210" s="10"/>
      <c r="D210" s="10"/>
      <c r="E210" s="10"/>
      <c r="F210" s="10"/>
      <c r="G210" s="10"/>
    </row>
    <row r="211" spans="1:7">
      <c r="A211" s="10"/>
      <c r="B211" s="3" t="s">
        <v>272</v>
      </c>
      <c r="C211" s="17" t="s">
        <v>6</v>
      </c>
      <c r="D211" s="17" t="s">
        <v>7</v>
      </c>
      <c r="E211" s="18" t="s">
        <v>8</v>
      </c>
      <c r="F211" s="10"/>
      <c r="G211" s="10"/>
    </row>
    <row r="212" spans="1:7" ht="19.899999999999999" customHeight="1">
      <c r="A212" s="10"/>
      <c r="B212" s="1" t="s">
        <v>273</v>
      </c>
      <c r="C212" s="26">
        <v>0.18</v>
      </c>
      <c r="D212" s="8" t="s">
        <v>274</v>
      </c>
      <c r="E212" s="27"/>
      <c r="F212" s="10"/>
      <c r="G212" s="10"/>
    </row>
    <row r="213" spans="1:7" ht="19.899999999999999" customHeight="1">
      <c r="A213" s="10"/>
      <c r="B213" s="1" t="s">
        <v>275</v>
      </c>
      <c r="C213" s="26">
        <v>0.1</v>
      </c>
      <c r="D213" s="8" t="s">
        <v>276</v>
      </c>
      <c r="E213" s="27"/>
      <c r="F213" s="10"/>
      <c r="G213" s="10"/>
    </row>
    <row r="214" spans="1:7" ht="19.899999999999999" customHeight="1">
      <c r="A214" s="10"/>
      <c r="B214" s="1" t="s">
        <v>277</v>
      </c>
      <c r="C214" s="26">
        <v>0.1</v>
      </c>
      <c r="D214" s="8" t="s">
        <v>278</v>
      </c>
      <c r="E214" s="27"/>
      <c r="F214" s="10"/>
      <c r="G214" s="10"/>
    </row>
    <row r="215" spans="1:7" ht="19.899999999999999" customHeight="1">
      <c r="A215" s="10"/>
      <c r="B215" s="2" t="s">
        <v>279</v>
      </c>
      <c r="C215" s="29">
        <v>0.09</v>
      </c>
      <c r="D215" s="9" t="s">
        <v>280</v>
      </c>
      <c r="E215" s="30"/>
      <c r="F215" s="10"/>
      <c r="G215" s="10"/>
    </row>
    <row r="216" spans="1:7">
      <c r="A216" s="10"/>
      <c r="B216" s="11"/>
      <c r="C216" s="12"/>
      <c r="D216" s="4"/>
      <c r="E216" s="5" t="str">
        <f>MID(B211,18,2)&amp;" "&amp;MID(B211,22,LEN(B211)-32)</f>
        <v/>
      </c>
      <c r="F216" s="6" t="str">
        <f>IF(SUM(C212:C215)=0,"",SUMPRODUCT(C212:C215,N(E212:E215&lt;&gt;""))/SUM(C212:C215))</f>
        <v/>
      </c>
      <c r="G216" s="10"/>
    </row>
    <row r="217" spans="1:7">
      <c r="A217" s="10"/>
      <c r="B217" s="10"/>
      <c r="C217" s="10"/>
      <c r="D217" s="10"/>
      <c r="E217" s="10"/>
      <c r="F217" s="16" t="str">
        <f>1-F216</f>
        <v/>
      </c>
      <c r="G217" s="10"/>
    </row>
    <row r="218" spans="1:7">
      <c r="A218" s="10"/>
      <c r="B218" s="10"/>
      <c r="C218" s="10"/>
      <c r="D218" s="10"/>
      <c r="E218" s="10"/>
      <c r="F218" s="10"/>
      <c r="G218" s="10"/>
    </row>
    <row r="219" spans="1:7">
      <c r="A219" s="10"/>
      <c r="B219" s="3" t="s">
        <v>281</v>
      </c>
      <c r="C219" s="17" t="s">
        <v>6</v>
      </c>
      <c r="D219" s="17" t="s">
        <v>7</v>
      </c>
      <c r="E219" s="18" t="s">
        <v>8</v>
      </c>
      <c r="F219" s="10"/>
      <c r="G219" s="10"/>
    </row>
    <row r="220" spans="1:7" ht="19.899999999999999" customHeight="1">
      <c r="A220" s="10"/>
      <c r="B220" s="1" t="s">
        <v>282</v>
      </c>
      <c r="C220" s="26">
        <v>0.48</v>
      </c>
      <c r="D220" s="8" t="s">
        <v>283</v>
      </c>
      <c r="E220" s="27"/>
      <c r="F220" s="10"/>
      <c r="G220" s="10"/>
    </row>
    <row r="221" spans="1:7" ht="34.9" customHeight="1">
      <c r="A221" s="10"/>
      <c r="B221" s="1" t="s">
        <v>284</v>
      </c>
      <c r="C221" s="26">
        <v>0.79</v>
      </c>
      <c r="D221" s="8" t="s">
        <v>285</v>
      </c>
      <c r="E221" s="27"/>
      <c r="F221" s="10"/>
      <c r="G221" s="10"/>
    </row>
    <row r="222" spans="1:7" ht="19.899999999999999" customHeight="1">
      <c r="A222" s="10"/>
      <c r="B222" s="1" t="s">
        <v>286</v>
      </c>
      <c r="C222" s="26">
        <v>0.21</v>
      </c>
      <c r="D222" s="8" t="s">
        <v>287</v>
      </c>
      <c r="E222" s="27"/>
      <c r="F222" s="10"/>
      <c r="G222" s="10"/>
    </row>
    <row r="223" spans="1:7" ht="19.899999999999999" customHeight="1">
      <c r="A223" s="10"/>
      <c r="B223" s="1" t="s">
        <v>288</v>
      </c>
      <c r="C223" s="26">
        <v>0.16</v>
      </c>
      <c r="D223" s="8" t="s">
        <v>289</v>
      </c>
      <c r="E223" s="27"/>
      <c r="F223" s="10"/>
      <c r="G223" s="10"/>
    </row>
    <row r="224" spans="1:7" ht="19.899999999999999" customHeight="1">
      <c r="A224" s="10"/>
      <c r="B224" s="2" t="s">
        <v>290</v>
      </c>
      <c r="C224" s="29">
        <v>0.09</v>
      </c>
      <c r="D224" s="9" t="s">
        <v>291</v>
      </c>
      <c r="E224" s="30"/>
      <c r="F224" s="10"/>
      <c r="G224" s="10"/>
    </row>
    <row r="225" spans="1:7">
      <c r="A225" s="10"/>
      <c r="B225" s="11"/>
      <c r="C225" s="12"/>
      <c r="D225" s="4"/>
      <c r="E225" s="5" t="str">
        <f>MID(B219,18,2)&amp;" "&amp;MID(B219,22,LEN(B219)-32)</f>
        <v/>
      </c>
      <c r="F225" s="6" t="str">
        <f>IF(SUM(C220:C224)=0,"",SUMPRODUCT(C220:C224,N(E220:E224&lt;&gt;""))/SUM(C220:C224))</f>
        <v/>
      </c>
      <c r="G225" s="10"/>
    </row>
    <row r="226" spans="1:7">
      <c r="A226" s="10"/>
      <c r="B226" s="10"/>
      <c r="C226" s="10"/>
      <c r="D226" s="10"/>
      <c r="E226" s="10"/>
      <c r="F226" s="16" t="str">
        <f>1-F225</f>
        <v/>
      </c>
      <c r="G226" s="10"/>
    </row>
    <row r="227" spans="1:7">
      <c r="A227" s="10"/>
      <c r="B227" s="10"/>
      <c r="C227" s="10"/>
      <c r="D227" s="10"/>
      <c r="E227" s="10"/>
      <c r="F227" s="10"/>
      <c r="G227" s="10"/>
    </row>
    <row r="228" spans="1:7">
      <c r="A228" s="10"/>
      <c r="B228" s="3" t="s">
        <v>292</v>
      </c>
      <c r="C228" s="17" t="s">
        <v>6</v>
      </c>
      <c r="D228" s="17" t="s">
        <v>7</v>
      </c>
      <c r="E228" s="18" t="s">
        <v>8</v>
      </c>
      <c r="F228" s="10"/>
      <c r="G228" s="10"/>
    </row>
    <row r="229" spans="1:7" ht="19.899999999999999" customHeight="1">
      <c r="A229" s="10"/>
      <c r="B229" s="1" t="s">
        <v>293</v>
      </c>
      <c r="C229" s="26">
        <v>0.11</v>
      </c>
      <c r="D229" s="8" t="s">
        <v>294</v>
      </c>
      <c r="E229" s="27"/>
      <c r="F229" s="10"/>
      <c r="G229" s="10"/>
    </row>
    <row r="230" spans="1:7" ht="19.899999999999999" customHeight="1">
      <c r="A230" s="10"/>
      <c r="B230" s="1" t="s">
        <v>295</v>
      </c>
      <c r="C230" s="26">
        <v>0.11</v>
      </c>
      <c r="D230" s="8" t="s">
        <v>296</v>
      </c>
      <c r="E230" s="27"/>
      <c r="F230" s="10"/>
      <c r="G230" s="10"/>
    </row>
    <row r="231" spans="1:7" ht="19.899999999999999" customHeight="1">
      <c r="A231" s="10"/>
      <c r="B231" s="1" t="s">
        <v>297</v>
      </c>
      <c r="C231" s="26">
        <v>0.21</v>
      </c>
      <c r="D231" s="8" t="s">
        <v>298</v>
      </c>
      <c r="E231" s="27"/>
      <c r="F231" s="10"/>
      <c r="G231" s="10"/>
    </row>
    <row r="232" spans="1:7" ht="19.899999999999999" customHeight="1">
      <c r="A232" s="10"/>
      <c r="B232" s="1" t="s">
        <v>299</v>
      </c>
      <c r="C232" s="26">
        <v>0.12</v>
      </c>
      <c r="D232" s="8" t="s">
        <v>300</v>
      </c>
      <c r="E232" s="27"/>
      <c r="F232" s="10"/>
      <c r="G232" s="10"/>
    </row>
    <row r="233" spans="1:7" ht="19.899999999999999" customHeight="1">
      <c r="A233" s="10"/>
      <c r="B233" s="2" t="s">
        <v>301</v>
      </c>
      <c r="C233" s="29">
        <v>0.09</v>
      </c>
      <c r="D233" s="9" t="s">
        <v>302</v>
      </c>
      <c r="E233" s="30"/>
      <c r="F233" s="10"/>
      <c r="G233" s="10"/>
    </row>
    <row r="234" spans="1:7">
      <c r="A234" s="10"/>
      <c r="B234" s="11"/>
      <c r="C234" s="12"/>
      <c r="D234" s="4"/>
      <c r="E234" s="5" t="str">
        <f>MID(B228,18,2)&amp;" "&amp;MID(B228,22,LEN(B228)-32)</f>
        <v/>
      </c>
      <c r="F234" s="6" t="str">
        <f>IF(SUM(C229:C233)=0,"",SUMPRODUCT(C229:C233,N(E229:E233&lt;&gt;""))/SUM(C229:C233))</f>
        <v/>
      </c>
      <c r="G234" s="10"/>
    </row>
    <row r="235" spans="1:7">
      <c r="A235" s="10"/>
      <c r="B235" s="10"/>
      <c r="C235" s="10"/>
      <c r="D235" s="10"/>
      <c r="E235" s="10"/>
      <c r="F235" s="16" t="str">
        <f>1-F234</f>
        <v/>
      </c>
      <c r="G235" s="10"/>
    </row>
    <row r="236" spans="1:7">
      <c r="A236" s="10"/>
      <c r="B236" s="10"/>
      <c r="C236" s="10"/>
      <c r="D236" s="10"/>
      <c r="E236" s="10"/>
      <c r="F236" s="10"/>
      <c r="G236" s="10"/>
    </row>
    <row r="237" spans="1:7">
      <c r="A237" s="10"/>
      <c r="B237" s="3" t="s">
        <v>303</v>
      </c>
      <c r="C237" s="17" t="s">
        <v>6</v>
      </c>
      <c r="D237" s="17" t="s">
        <v>7</v>
      </c>
      <c r="E237" s="18" t="s">
        <v>8</v>
      </c>
      <c r="F237" s="10"/>
      <c r="G237" s="10"/>
    </row>
    <row r="238" spans="1:7" ht="19.899999999999999" customHeight="1">
      <c r="A238" s="10"/>
      <c r="B238" s="1" t="s">
        <v>304</v>
      </c>
      <c r="C238" s="26">
        <v>0.12</v>
      </c>
      <c r="D238" s="8" t="s">
        <v>305</v>
      </c>
      <c r="E238" s="27"/>
      <c r="F238" s="10"/>
      <c r="G238" s="10"/>
    </row>
    <row r="239" spans="1:7" ht="34.9" customHeight="1">
      <c r="A239" s="10"/>
      <c r="B239" s="1" t="s">
        <v>306</v>
      </c>
      <c r="C239" s="26">
        <v>0.39</v>
      </c>
      <c r="D239" s="8" t="s">
        <v>307</v>
      </c>
      <c r="E239" s="27"/>
      <c r="F239" s="10"/>
      <c r="G239" s="10"/>
    </row>
    <row r="240" spans="1:7" ht="34.9" customHeight="1">
      <c r="A240" s="10"/>
      <c r="B240" s="1" t="s">
        <v>308</v>
      </c>
      <c r="C240" s="26">
        <v>0.4</v>
      </c>
      <c r="D240" s="8" t="s">
        <v>309</v>
      </c>
      <c r="E240" s="27"/>
      <c r="F240" s="10"/>
      <c r="G240" s="10"/>
    </row>
    <row r="241" spans="1:7" ht="19.899999999999999" customHeight="1">
      <c r="A241" s="10"/>
      <c r="B241" s="1" t="s">
        <v>310</v>
      </c>
      <c r="C241" s="26">
        <v>0.31</v>
      </c>
      <c r="D241" s="8" t="s">
        <v>311</v>
      </c>
      <c r="E241" s="27"/>
      <c r="F241" s="10"/>
      <c r="G241" s="10"/>
    </row>
    <row r="242" spans="1:7" ht="19.899999999999999" customHeight="1">
      <c r="A242" s="10"/>
      <c r="B242" s="1" t="s">
        <v>312</v>
      </c>
      <c r="C242" s="26">
        <v>0.31</v>
      </c>
      <c r="D242" s="8" t="s">
        <v>313</v>
      </c>
      <c r="E242" s="27"/>
      <c r="F242" s="10"/>
      <c r="G242" s="10"/>
    </row>
    <row r="243" spans="1:7" ht="19.899999999999999" customHeight="1">
      <c r="A243" s="10"/>
      <c r="B243" s="2" t="s">
        <v>314</v>
      </c>
      <c r="C243" s="29">
        <v>0.2</v>
      </c>
      <c r="D243" s="9" t="s">
        <v>315</v>
      </c>
      <c r="E243" s="30"/>
      <c r="F243" s="10"/>
      <c r="G243" s="10"/>
    </row>
    <row r="244" spans="1:7">
      <c r="A244" s="10"/>
      <c r="B244" s="11"/>
      <c r="C244" s="12"/>
      <c r="D244" s="4"/>
      <c r="E244" s="5" t="str">
        <f>MID(B237,18,2)&amp;" "&amp;MID(B237,22,LEN(B237)-32)</f>
        <v/>
      </c>
      <c r="F244" s="6" t="str">
        <f>IF(SUM(C238:C243)=0,"",SUMPRODUCT(C238:C243,N(E238:E243&lt;&gt;""))/SUM(C238:C243))</f>
        <v/>
      </c>
      <c r="G244" s="10"/>
    </row>
    <row r="245" spans="1:7">
      <c r="A245" s="10"/>
      <c r="B245" s="10"/>
      <c r="C245" s="10"/>
      <c r="D245" s="10"/>
      <c r="E245" s="10"/>
      <c r="F245" s="16" t="str">
        <f>1-F244</f>
        <v/>
      </c>
      <c r="G245" s="10"/>
    </row>
    <row r="246" spans="1:7">
      <c r="A246" s="10"/>
      <c r="B246" s="10"/>
      <c r="C246" s="10"/>
      <c r="D246" s="10"/>
      <c r="E246" s="10"/>
      <c r="F246" s="10"/>
      <c r="G246" s="10"/>
    </row>
    <row r="247" spans="1:7">
      <c r="A247" s="10"/>
      <c r="B247" s="3" t="s">
        <v>316</v>
      </c>
      <c r="C247" s="17" t="s">
        <v>6</v>
      </c>
      <c r="D247" s="17" t="s">
        <v>7</v>
      </c>
      <c r="E247" s="18" t="s">
        <v>8</v>
      </c>
      <c r="F247" s="10"/>
      <c r="G247" s="10"/>
    </row>
    <row r="248" spans="1:7" ht="19.899999999999999" customHeight="1">
      <c r="A248" s="10"/>
      <c r="B248" s="1" t="s">
        <v>317</v>
      </c>
      <c r="C248" s="26">
        <v>0.38</v>
      </c>
      <c r="D248" s="8" t="s">
        <v>318</v>
      </c>
      <c r="E248" s="27"/>
      <c r="F248" s="10"/>
      <c r="G248" s="10"/>
    </row>
    <row r="249" spans="1:7" ht="19.899999999999999" customHeight="1">
      <c r="A249" s="10"/>
      <c r="B249" s="1" t="s">
        <v>319</v>
      </c>
      <c r="C249" s="26">
        <v>0.8</v>
      </c>
      <c r="D249" s="8" t="s">
        <v>320</v>
      </c>
      <c r="E249" s="27"/>
      <c r="F249" s="10"/>
      <c r="G249" s="10"/>
    </row>
    <row r="250" spans="1:7" ht="34.9" customHeight="1">
      <c r="A250" s="10"/>
      <c r="B250" s="1" t="s">
        <v>321</v>
      </c>
      <c r="C250" s="26">
        <v>0.4</v>
      </c>
      <c r="D250" s="8" t="s">
        <v>322</v>
      </c>
      <c r="E250" s="27"/>
      <c r="F250" s="10"/>
      <c r="G250" s="10"/>
    </row>
    <row r="251" spans="1:7" ht="19.899999999999999" customHeight="1">
      <c r="B251" s="1" t="s">
        <v>323</v>
      </c>
      <c r="C251" s="26">
        <v>0.19</v>
      </c>
      <c r="D251" s="8" t="s">
        <v>324</v>
      </c>
      <c r="E251" s="27"/>
    </row>
    <row r="252" spans="1:7" ht="19.899999999999999" customHeight="1">
      <c r="B252" s="2" t="s">
        <v>325</v>
      </c>
      <c r="C252" s="29">
        <v>0.31</v>
      </c>
      <c r="D252" s="9" t="s">
        <v>326</v>
      </c>
      <c r="E252" s="30"/>
    </row>
    <row r="253" spans="1:7">
      <c r="B253" s="11"/>
      <c r="C253" s="12"/>
      <c r="D253" s="4"/>
      <c r="E253" s="5" t="str">
        <f>MID(B247,18,2)&amp;" "&amp;MID(B247,22,LEN(B247)-32)</f>
        <v/>
      </c>
      <c r="F253" s="6" t="str">
        <f>IF(SUM(C248:C252)=0,"",SUMPRODUCT(C248:C252,N(E248:E252&lt;&gt;""))/SUM(C248:C252))</f>
        <v/>
      </c>
    </row>
    <row r="254" spans="1:7">
      <c r="F254" s="16" t="str">
        <f>1-F253</f>
        <v/>
      </c>
    </row>
  </sheetData>
  <sheetProtection password="E7E1" sheet="1" selectLockedCells="1"/>
  <pageMargins left="0.82677165354330717" right="0.23622047244094491" top="0.74803149606299213" bottom="0.74803149606299213" header="0.31496062992125978" footer="0.31496062992125978"/>
  <pageSetup paperSize="9" scale="57" fitToHeight="0" orientation="portrait" horizontalDpi="0" verticalDpi="0"/>
  <rowBreaks count="4" manualBreakCount="4">
    <brk id="45" max="16383" man="1"/>
    <brk id="102" max="16383" man="1"/>
    <brk id="150" max="16383" man="1"/>
    <brk id="201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8"/>
  <sheetViews>
    <sheetView workbookViewId="0"/>
  </sheetViews>
  <sheetFormatPr defaultRowHeight="15"/>
  <cols>
    <col min="1" max="1" width="6" customWidth="1"/>
    <col min="2" max="2" width="28" customWidth="1"/>
    <col min="3" max="3" width="62" customWidth="1"/>
    <col min="4" max="4" width="9" customWidth="1"/>
    <col min="5" max="5" width="17" customWidth="1"/>
    <col min="6" max="6" width="30" customWidth="1"/>
    <col min="7" max="7" width="26" customWidth="1"/>
    <col min="8" max="8" width="80" customWidth="1"/>
  </cols>
  <sheetData>
    <row r="1" spans="1:8">
      <c r="A1" s="31" t="s">
        <v>327</v>
      </c>
    </row>
    <row r="2" spans="1:8">
      <c r="A2" t="s">
        <v>328</v>
      </c>
    </row>
    <row r="3" spans="1:8">
      <c r="A3" t="s">
        <v>329</v>
      </c>
    </row>
    <row r="4" spans="1:8">
      <c r="A4" t="s">
        <v>330</v>
      </c>
    </row>
    <row r="5" spans="1:8">
      <c r="A5" t="s">
        <v>331</v>
      </c>
    </row>
    <row r="7" spans="1:8">
      <c r="A7" s="34" t="s">
        <v>332</v>
      </c>
      <c r="B7" s="34" t="s">
        <v>333</v>
      </c>
      <c r="C7" s="34" t="s">
        <v>334</v>
      </c>
      <c r="D7" s="34" t="s">
        <v>6</v>
      </c>
      <c r="E7" s="34" t="s">
        <v>7</v>
      </c>
      <c r="F7" s="34" t="s">
        <v>335</v>
      </c>
      <c r="G7" s="34" t="s">
        <v>336</v>
      </c>
      <c r="H7" s="34" t="s">
        <v>337</v>
      </c>
    </row>
    <row r="8" spans="1:8">
      <c r="A8" s="32" t="s">
        <v>338</v>
      </c>
      <c r="B8" s="32" t="s">
        <v>339</v>
      </c>
      <c r="C8" s="32" t="s">
        <v>340</v>
      </c>
      <c r="D8" s="33">
        <v>0.21</v>
      </c>
      <c r="E8" s="32" t="s">
        <v>62</v>
      </c>
      <c r="F8" s="32" t="s">
        <v>341</v>
      </c>
      <c r="G8" s="32" t="s">
        <v>342</v>
      </c>
      <c r="H8" s="32" t="s">
        <v>343</v>
      </c>
    </row>
    <row r="9" spans="1:8">
      <c r="A9" s="32" t="s">
        <v>344</v>
      </c>
      <c r="B9" s="32" t="s">
        <v>339</v>
      </c>
      <c r="C9" s="32" t="s">
        <v>345</v>
      </c>
      <c r="D9" s="33">
        <v>0.19</v>
      </c>
      <c r="E9" s="32" t="s">
        <v>64</v>
      </c>
      <c r="F9" s="32" t="s">
        <v>346</v>
      </c>
      <c r="G9" s="32" t="s">
        <v>347</v>
      </c>
      <c r="H9" s="32" t="s">
        <v>348</v>
      </c>
    </row>
    <row r="10" spans="1:8">
      <c r="A10" s="32" t="s">
        <v>349</v>
      </c>
      <c r="B10" s="32" t="s">
        <v>339</v>
      </c>
      <c r="C10" s="32" t="s">
        <v>350</v>
      </c>
      <c r="D10" s="33">
        <v>0.09</v>
      </c>
      <c r="E10" s="32" t="s">
        <v>66</v>
      </c>
      <c r="F10" s="32" t="s">
        <v>66</v>
      </c>
      <c r="G10" s="32" t="s">
        <v>351</v>
      </c>
      <c r="H10" s="32" t="s">
        <v>352</v>
      </c>
    </row>
    <row r="11" spans="1:8">
      <c r="A11" s="32" t="s">
        <v>353</v>
      </c>
      <c r="B11" s="32" t="s">
        <v>339</v>
      </c>
      <c r="C11" s="32" t="s">
        <v>354</v>
      </c>
      <c r="D11" s="33">
        <v>0.1</v>
      </c>
      <c r="E11" s="32" t="s">
        <v>68</v>
      </c>
      <c r="F11" s="32" t="s">
        <v>68</v>
      </c>
      <c r="G11" s="32" t="s">
        <v>355</v>
      </c>
      <c r="H11" s="32" t="s">
        <v>356</v>
      </c>
    </row>
    <row r="12" spans="1:8">
      <c r="A12" s="32" t="s">
        <v>357</v>
      </c>
      <c r="B12" s="32" t="s">
        <v>339</v>
      </c>
      <c r="C12" s="32" t="s">
        <v>358</v>
      </c>
      <c r="D12" s="33">
        <v>0.11</v>
      </c>
      <c r="E12" s="32" t="s">
        <v>70</v>
      </c>
      <c r="F12" s="32" t="s">
        <v>70</v>
      </c>
      <c r="G12" s="32" t="s">
        <v>359</v>
      </c>
      <c r="H12" s="32" t="s">
        <v>343</v>
      </c>
    </row>
    <row r="13" spans="1:8">
      <c r="A13" s="32" t="s">
        <v>360</v>
      </c>
      <c r="B13" s="32" t="s">
        <v>339</v>
      </c>
      <c r="C13" s="32" t="s">
        <v>361</v>
      </c>
      <c r="D13" s="33">
        <v>0.21</v>
      </c>
      <c r="E13" s="32" t="s">
        <v>72</v>
      </c>
      <c r="F13" s="32" t="s">
        <v>362</v>
      </c>
      <c r="G13" s="32" t="s">
        <v>363</v>
      </c>
      <c r="H13" s="32" t="s">
        <v>364</v>
      </c>
    </row>
    <row r="14" spans="1:8">
      <c r="A14" s="32" t="s">
        <v>365</v>
      </c>
      <c r="B14" s="32" t="s">
        <v>339</v>
      </c>
      <c r="C14" s="32" t="s">
        <v>366</v>
      </c>
      <c r="D14" s="33">
        <v>0.1</v>
      </c>
      <c r="E14" s="32" t="s">
        <v>74</v>
      </c>
      <c r="F14" s="32" t="s">
        <v>74</v>
      </c>
      <c r="G14" s="32" t="s">
        <v>367</v>
      </c>
      <c r="H14" s="32" t="s">
        <v>356</v>
      </c>
    </row>
    <row r="15" spans="1:8">
      <c r="A15" s="32" t="s">
        <v>368</v>
      </c>
      <c r="B15" s="32" t="s">
        <v>369</v>
      </c>
      <c r="C15" s="32" t="s">
        <v>370</v>
      </c>
      <c r="D15" s="33">
        <v>0.19</v>
      </c>
      <c r="E15" s="32" t="s">
        <v>77</v>
      </c>
      <c r="F15" s="32" t="s">
        <v>371</v>
      </c>
      <c r="G15" s="32" t="s">
        <v>372</v>
      </c>
      <c r="H15" s="32" t="s">
        <v>373</v>
      </c>
    </row>
    <row r="16" spans="1:8">
      <c r="A16" s="32" t="s">
        <v>374</v>
      </c>
      <c r="B16" s="32" t="s">
        <v>369</v>
      </c>
      <c r="C16" s="32" t="s">
        <v>375</v>
      </c>
      <c r="D16" s="33">
        <v>0.11</v>
      </c>
      <c r="E16" s="32" t="s">
        <v>79</v>
      </c>
      <c r="F16" s="32" t="s">
        <v>79</v>
      </c>
      <c r="G16" s="32" t="s">
        <v>376</v>
      </c>
      <c r="H16" s="32" t="s">
        <v>377</v>
      </c>
    </row>
    <row r="17" spans="1:8">
      <c r="A17" s="32" t="s">
        <v>378</v>
      </c>
      <c r="B17" s="32" t="s">
        <v>369</v>
      </c>
      <c r="C17" s="32" t="s">
        <v>379</v>
      </c>
      <c r="D17" s="33">
        <v>0.09</v>
      </c>
      <c r="E17" s="32" t="s">
        <v>81</v>
      </c>
      <c r="F17" s="32" t="s">
        <v>380</v>
      </c>
      <c r="G17" s="32" t="s">
        <v>381</v>
      </c>
      <c r="H17" s="32" t="s">
        <v>382</v>
      </c>
    </row>
    <row r="18" spans="1:8">
      <c r="A18" s="32" t="s">
        <v>383</v>
      </c>
      <c r="B18" s="32" t="s">
        <v>369</v>
      </c>
      <c r="C18" s="32" t="s">
        <v>384</v>
      </c>
      <c r="D18" s="33">
        <v>0.17</v>
      </c>
      <c r="E18" s="32" t="s">
        <v>83</v>
      </c>
      <c r="F18" s="32" t="s">
        <v>385</v>
      </c>
      <c r="G18" s="32" t="s">
        <v>386</v>
      </c>
      <c r="H18" s="32" t="s">
        <v>387</v>
      </c>
    </row>
    <row r="19" spans="1:8">
      <c r="A19" s="32" t="s">
        <v>388</v>
      </c>
      <c r="B19" s="32" t="s">
        <v>369</v>
      </c>
      <c r="C19" s="32" t="s">
        <v>389</v>
      </c>
      <c r="D19" s="33">
        <v>0.12</v>
      </c>
      <c r="E19" s="32" t="s">
        <v>85</v>
      </c>
      <c r="F19" s="32" t="s">
        <v>85</v>
      </c>
      <c r="G19" s="32" t="s">
        <v>390</v>
      </c>
      <c r="H19" s="32" t="s">
        <v>387</v>
      </c>
    </row>
    <row r="20" spans="1:8">
      <c r="A20" s="32" t="s">
        <v>391</v>
      </c>
      <c r="B20" s="32" t="s">
        <v>369</v>
      </c>
      <c r="C20" s="32" t="s">
        <v>392</v>
      </c>
      <c r="D20" s="33">
        <v>0.12</v>
      </c>
      <c r="E20" s="32" t="s">
        <v>87</v>
      </c>
      <c r="F20" s="32" t="s">
        <v>87</v>
      </c>
      <c r="G20" s="32" t="s">
        <v>393</v>
      </c>
      <c r="H20" s="32" t="s">
        <v>394</v>
      </c>
    </row>
    <row r="21" spans="1:8">
      <c r="A21" s="32" t="s">
        <v>395</v>
      </c>
      <c r="B21" s="32" t="s">
        <v>369</v>
      </c>
      <c r="C21" s="32" t="s">
        <v>396</v>
      </c>
      <c r="D21" s="33">
        <v>0.22</v>
      </c>
      <c r="E21" s="32" t="s">
        <v>89</v>
      </c>
      <c r="F21" s="32" t="s">
        <v>397</v>
      </c>
      <c r="G21" s="32" t="s">
        <v>398</v>
      </c>
      <c r="H21" s="32" t="s">
        <v>399</v>
      </c>
    </row>
    <row r="22" spans="1:8">
      <c r="A22" s="32" t="s">
        <v>400</v>
      </c>
      <c r="B22" s="32" t="s">
        <v>401</v>
      </c>
      <c r="C22" s="32" t="s">
        <v>402</v>
      </c>
      <c r="D22" s="33">
        <v>0.11</v>
      </c>
      <c r="E22" s="32" t="s">
        <v>92</v>
      </c>
      <c r="F22" s="32" t="s">
        <v>92</v>
      </c>
      <c r="G22" s="32" t="s">
        <v>376</v>
      </c>
      <c r="H22" s="32" t="s">
        <v>403</v>
      </c>
    </row>
    <row r="23" spans="1:8">
      <c r="A23" s="32" t="s">
        <v>404</v>
      </c>
      <c r="B23" s="32" t="s">
        <v>401</v>
      </c>
      <c r="C23" s="32" t="s">
        <v>405</v>
      </c>
      <c r="D23" s="33">
        <v>0.32</v>
      </c>
      <c r="E23" s="32" t="s">
        <v>94</v>
      </c>
      <c r="F23" s="32" t="s">
        <v>406</v>
      </c>
      <c r="G23" s="32" t="s">
        <v>407</v>
      </c>
      <c r="H23" s="32" t="s">
        <v>408</v>
      </c>
    </row>
    <row r="24" spans="1:8">
      <c r="A24" s="32" t="s">
        <v>409</v>
      </c>
      <c r="B24" s="32" t="s">
        <v>401</v>
      </c>
      <c r="C24" s="32" t="s">
        <v>410</v>
      </c>
      <c r="D24" s="33">
        <v>0.09</v>
      </c>
      <c r="E24" s="32" t="s">
        <v>96</v>
      </c>
      <c r="F24" s="32" t="s">
        <v>96</v>
      </c>
      <c r="G24" s="32" t="s">
        <v>351</v>
      </c>
      <c r="H24" s="32" t="s">
        <v>408</v>
      </c>
    </row>
    <row r="25" spans="1:8">
      <c r="A25" s="32" t="s">
        <v>411</v>
      </c>
      <c r="B25" s="32" t="s">
        <v>401</v>
      </c>
      <c r="C25" s="32" t="s">
        <v>412</v>
      </c>
      <c r="D25" s="33">
        <v>0.09</v>
      </c>
      <c r="E25" s="32" t="s">
        <v>98</v>
      </c>
      <c r="F25" s="32" t="s">
        <v>98</v>
      </c>
      <c r="G25" s="32" t="s">
        <v>351</v>
      </c>
      <c r="H25" s="32" t="s">
        <v>413</v>
      </c>
    </row>
    <row r="26" spans="1:8">
      <c r="A26" s="32" t="s">
        <v>414</v>
      </c>
      <c r="B26" s="32" t="s">
        <v>415</v>
      </c>
      <c r="C26" s="32" t="s">
        <v>416</v>
      </c>
      <c r="D26" s="33">
        <v>0.09</v>
      </c>
      <c r="E26" s="32" t="s">
        <v>101</v>
      </c>
      <c r="F26" s="32" t="s">
        <v>101</v>
      </c>
      <c r="G26" s="32" t="s">
        <v>351</v>
      </c>
      <c r="H26" s="32" t="s">
        <v>417</v>
      </c>
    </row>
    <row r="27" spans="1:8">
      <c r="A27" s="32" t="s">
        <v>418</v>
      </c>
      <c r="B27" s="32" t="s">
        <v>415</v>
      </c>
      <c r="C27" s="32" t="s">
        <v>419</v>
      </c>
      <c r="D27" s="33">
        <v>0.27</v>
      </c>
      <c r="E27" s="32" t="s">
        <v>103</v>
      </c>
      <c r="F27" s="32" t="s">
        <v>420</v>
      </c>
      <c r="G27" s="32" t="s">
        <v>421</v>
      </c>
      <c r="H27" s="32" t="s">
        <v>422</v>
      </c>
    </row>
    <row r="28" spans="1:8">
      <c r="A28" s="32" t="s">
        <v>423</v>
      </c>
      <c r="B28" s="32" t="s">
        <v>415</v>
      </c>
      <c r="C28" s="32" t="s">
        <v>424</v>
      </c>
      <c r="D28" s="33">
        <v>0.1</v>
      </c>
      <c r="E28" s="32" t="s">
        <v>105</v>
      </c>
      <c r="F28" s="32" t="s">
        <v>425</v>
      </c>
      <c r="G28" s="32" t="s">
        <v>426</v>
      </c>
      <c r="H28" s="32" t="s">
        <v>427</v>
      </c>
    </row>
    <row r="29" spans="1:8">
      <c r="A29" s="32" t="s">
        <v>428</v>
      </c>
      <c r="B29" s="32" t="s">
        <v>415</v>
      </c>
      <c r="C29" s="32" t="s">
        <v>429</v>
      </c>
      <c r="D29" s="33">
        <v>0.1</v>
      </c>
      <c r="E29" s="32" t="s">
        <v>107</v>
      </c>
      <c r="F29" s="32" t="s">
        <v>107</v>
      </c>
      <c r="G29" s="32" t="s">
        <v>355</v>
      </c>
      <c r="H29" s="32" t="s">
        <v>427</v>
      </c>
    </row>
    <row r="30" spans="1:8">
      <c r="A30" s="32" t="s">
        <v>430</v>
      </c>
      <c r="B30" s="32" t="s">
        <v>431</v>
      </c>
      <c r="C30" s="32" t="s">
        <v>432</v>
      </c>
      <c r="D30" s="33">
        <v>0.3</v>
      </c>
      <c r="E30" s="32" t="s">
        <v>110</v>
      </c>
      <c r="F30" s="32" t="s">
        <v>433</v>
      </c>
      <c r="G30" s="32" t="s">
        <v>434</v>
      </c>
      <c r="H30" s="32" t="s">
        <v>435</v>
      </c>
    </row>
    <row r="31" spans="1:8">
      <c r="A31" s="32" t="s">
        <v>436</v>
      </c>
      <c r="B31" s="32" t="s">
        <v>431</v>
      </c>
      <c r="C31" s="32" t="s">
        <v>437</v>
      </c>
      <c r="D31" s="33">
        <v>0.39</v>
      </c>
      <c r="E31" s="32" t="s">
        <v>112</v>
      </c>
      <c r="F31" s="32" t="s">
        <v>438</v>
      </c>
      <c r="G31" s="32" t="s">
        <v>439</v>
      </c>
      <c r="H31" s="32" t="s">
        <v>440</v>
      </c>
    </row>
    <row r="32" spans="1:8">
      <c r="A32" s="32" t="s">
        <v>441</v>
      </c>
      <c r="B32" s="32" t="s">
        <v>431</v>
      </c>
      <c r="C32" s="32" t="s">
        <v>442</v>
      </c>
      <c r="D32" s="33">
        <v>0.31</v>
      </c>
      <c r="E32" s="32" t="s">
        <v>114</v>
      </c>
      <c r="F32" s="32" t="s">
        <v>443</v>
      </c>
      <c r="G32" s="32" t="s">
        <v>444</v>
      </c>
      <c r="H32" s="32" t="s">
        <v>445</v>
      </c>
    </row>
    <row r="33" spans="1:8">
      <c r="A33" s="32" t="s">
        <v>446</v>
      </c>
      <c r="B33" s="32" t="s">
        <v>431</v>
      </c>
      <c r="C33" s="32" t="s">
        <v>447</v>
      </c>
      <c r="D33" s="33">
        <v>0.08</v>
      </c>
      <c r="E33" s="32" t="s">
        <v>116</v>
      </c>
      <c r="F33" s="32" t="s">
        <v>116</v>
      </c>
      <c r="G33" s="32" t="s">
        <v>448</v>
      </c>
      <c r="H33" s="32" t="s">
        <v>449</v>
      </c>
    </row>
    <row r="34" spans="1:8">
      <c r="A34" s="32" t="s">
        <v>450</v>
      </c>
      <c r="B34" s="32" t="s">
        <v>451</v>
      </c>
      <c r="C34" s="32" t="s">
        <v>452</v>
      </c>
      <c r="D34" s="33">
        <v>0.4</v>
      </c>
      <c r="E34" s="32" t="s">
        <v>119</v>
      </c>
      <c r="F34" s="32" t="s">
        <v>453</v>
      </c>
      <c r="G34" s="32" t="s">
        <v>454</v>
      </c>
      <c r="H34" s="32" t="s">
        <v>455</v>
      </c>
    </row>
    <row r="35" spans="1:8">
      <c r="A35" s="32" t="s">
        <v>456</v>
      </c>
      <c r="B35" s="32" t="s">
        <v>451</v>
      </c>
      <c r="C35" s="32" t="s">
        <v>457</v>
      </c>
      <c r="D35" s="33">
        <v>0.4</v>
      </c>
      <c r="E35" s="32" t="s">
        <v>121</v>
      </c>
      <c r="F35" s="32" t="s">
        <v>458</v>
      </c>
      <c r="G35" s="32" t="s">
        <v>454</v>
      </c>
      <c r="H35" s="32" t="s">
        <v>459</v>
      </c>
    </row>
    <row r="36" spans="1:8">
      <c r="A36" s="32" t="s">
        <v>460</v>
      </c>
      <c r="B36" s="32" t="s">
        <v>461</v>
      </c>
      <c r="C36" s="32" t="s">
        <v>462</v>
      </c>
      <c r="D36" s="33">
        <v>0.17</v>
      </c>
      <c r="E36" s="32" t="s">
        <v>124</v>
      </c>
      <c r="F36" s="32" t="s">
        <v>463</v>
      </c>
      <c r="G36" s="32" t="s">
        <v>464</v>
      </c>
      <c r="H36" s="32" t="s">
        <v>465</v>
      </c>
    </row>
    <row r="37" spans="1:8">
      <c r="A37" s="32" t="s">
        <v>466</v>
      </c>
      <c r="B37" s="32" t="s">
        <v>461</v>
      </c>
      <c r="C37" s="32" t="s">
        <v>467</v>
      </c>
      <c r="D37" s="33">
        <v>0.42</v>
      </c>
      <c r="E37" s="32" t="s">
        <v>126</v>
      </c>
      <c r="F37" s="32" t="s">
        <v>468</v>
      </c>
      <c r="G37" s="32" t="s">
        <v>469</v>
      </c>
      <c r="H37" s="32" t="s">
        <v>470</v>
      </c>
    </row>
    <row r="38" spans="1:8">
      <c r="A38" s="32" t="s">
        <v>471</v>
      </c>
      <c r="B38" s="32" t="s">
        <v>461</v>
      </c>
      <c r="C38" s="32" t="s">
        <v>472</v>
      </c>
      <c r="D38" s="33">
        <v>0.11</v>
      </c>
      <c r="E38" s="32" t="s">
        <v>128</v>
      </c>
      <c r="F38" s="32" t="s">
        <v>473</v>
      </c>
      <c r="G38" s="32" t="s">
        <v>376</v>
      </c>
      <c r="H38" s="32" t="s">
        <v>474</v>
      </c>
    </row>
    <row r="39" spans="1:8">
      <c r="A39" s="32" t="s">
        <v>475</v>
      </c>
      <c r="B39" s="32" t="s">
        <v>476</v>
      </c>
      <c r="C39" s="32" t="s">
        <v>477</v>
      </c>
      <c r="D39" s="33">
        <v>0.21</v>
      </c>
      <c r="E39" s="32" t="s">
        <v>131</v>
      </c>
      <c r="F39" s="32" t="s">
        <v>478</v>
      </c>
      <c r="G39" s="32" t="s">
        <v>479</v>
      </c>
      <c r="H39" s="32" t="s">
        <v>480</v>
      </c>
    </row>
    <row r="40" spans="1:8">
      <c r="A40" s="32" t="s">
        <v>481</v>
      </c>
      <c r="B40" s="32" t="s">
        <v>476</v>
      </c>
      <c r="C40" s="32" t="s">
        <v>482</v>
      </c>
      <c r="D40" s="33">
        <v>0.21</v>
      </c>
      <c r="E40" s="32" t="s">
        <v>133</v>
      </c>
      <c r="F40" s="32" t="s">
        <v>483</v>
      </c>
      <c r="G40" s="32" t="s">
        <v>479</v>
      </c>
      <c r="H40" s="32" t="s">
        <v>480</v>
      </c>
    </row>
    <row r="41" spans="1:8">
      <c r="A41" s="32" t="s">
        <v>484</v>
      </c>
      <c r="B41" s="32" t="s">
        <v>476</v>
      </c>
      <c r="C41" s="32" t="s">
        <v>485</v>
      </c>
      <c r="D41" s="33">
        <v>0.11</v>
      </c>
      <c r="E41" s="32" t="s">
        <v>135</v>
      </c>
      <c r="F41" s="32" t="s">
        <v>135</v>
      </c>
      <c r="G41" s="32" t="s">
        <v>359</v>
      </c>
      <c r="H41" s="32" t="s">
        <v>486</v>
      </c>
    </row>
    <row r="42" spans="1:8">
      <c r="A42" s="32" t="s">
        <v>487</v>
      </c>
      <c r="B42" s="32" t="s">
        <v>476</v>
      </c>
      <c r="C42" s="32" t="s">
        <v>488</v>
      </c>
      <c r="D42" s="33">
        <v>0.09</v>
      </c>
      <c r="E42" s="32" t="s">
        <v>137</v>
      </c>
      <c r="F42" s="32" t="s">
        <v>489</v>
      </c>
      <c r="G42" s="32" t="s">
        <v>490</v>
      </c>
      <c r="H42" s="32" t="s">
        <v>491</v>
      </c>
    </row>
    <row r="43" spans="1:8">
      <c r="A43" s="32" t="s">
        <v>492</v>
      </c>
      <c r="B43" s="32" t="s">
        <v>476</v>
      </c>
      <c r="C43" s="32" t="s">
        <v>493</v>
      </c>
      <c r="D43" s="33">
        <v>0.09</v>
      </c>
      <c r="E43" s="32" t="s">
        <v>139</v>
      </c>
      <c r="F43" s="32" t="s">
        <v>139</v>
      </c>
      <c r="G43" s="32" t="s">
        <v>494</v>
      </c>
      <c r="H43" s="32" t="s">
        <v>495</v>
      </c>
    </row>
    <row r="44" spans="1:8">
      <c r="A44" s="32" t="s">
        <v>496</v>
      </c>
      <c r="B44" s="32" t="s">
        <v>497</v>
      </c>
      <c r="C44" s="32" t="s">
        <v>498</v>
      </c>
      <c r="D44" s="33">
        <v>0.21</v>
      </c>
      <c r="E44" s="32" t="s">
        <v>142</v>
      </c>
      <c r="F44" s="32" t="s">
        <v>499</v>
      </c>
      <c r="G44" s="32" t="s">
        <v>500</v>
      </c>
      <c r="H44" s="32" t="s">
        <v>501</v>
      </c>
    </row>
    <row r="45" spans="1:8">
      <c r="A45" s="32" t="s">
        <v>502</v>
      </c>
      <c r="B45" s="32" t="s">
        <v>497</v>
      </c>
      <c r="C45" s="32" t="s">
        <v>503</v>
      </c>
      <c r="D45" s="33">
        <v>0.11</v>
      </c>
      <c r="E45" s="32" t="s">
        <v>144</v>
      </c>
      <c r="F45" s="32" t="s">
        <v>144</v>
      </c>
      <c r="G45" s="32" t="s">
        <v>504</v>
      </c>
      <c r="H45" s="32" t="s">
        <v>501</v>
      </c>
    </row>
    <row r="46" spans="1:8">
      <c r="A46" s="32" t="s">
        <v>505</v>
      </c>
      <c r="B46" s="32" t="s">
        <v>497</v>
      </c>
      <c r="C46" s="32" t="s">
        <v>506</v>
      </c>
      <c r="D46" s="33">
        <v>0.09</v>
      </c>
      <c r="E46" s="32" t="s">
        <v>146</v>
      </c>
      <c r="F46" s="32" t="s">
        <v>507</v>
      </c>
      <c r="G46" s="32" t="s">
        <v>508</v>
      </c>
      <c r="H46" s="32" t="s">
        <v>509</v>
      </c>
    </row>
    <row r="47" spans="1:8">
      <c r="A47" s="32" t="s">
        <v>510</v>
      </c>
      <c r="B47" s="32" t="s">
        <v>497</v>
      </c>
      <c r="C47" s="32" t="s">
        <v>511</v>
      </c>
      <c r="D47" s="33">
        <v>0.2</v>
      </c>
      <c r="E47" s="32" t="s">
        <v>148</v>
      </c>
      <c r="F47" s="32" t="s">
        <v>512</v>
      </c>
      <c r="G47" s="32" t="s">
        <v>513</v>
      </c>
      <c r="H47" s="32" t="s">
        <v>514</v>
      </c>
    </row>
    <row r="48" spans="1:8">
      <c r="A48" s="32" t="s">
        <v>515</v>
      </c>
      <c r="B48" s="32" t="s">
        <v>516</v>
      </c>
      <c r="C48" s="32" t="s">
        <v>517</v>
      </c>
      <c r="D48" s="33">
        <v>0.3</v>
      </c>
      <c r="E48" s="32" t="s">
        <v>151</v>
      </c>
      <c r="F48" s="32" t="s">
        <v>518</v>
      </c>
      <c r="G48" s="32" t="s">
        <v>519</v>
      </c>
      <c r="H48" s="32" t="s">
        <v>520</v>
      </c>
    </row>
    <row r="49" spans="1:8">
      <c r="A49" s="32" t="s">
        <v>521</v>
      </c>
      <c r="B49" s="32" t="s">
        <v>516</v>
      </c>
      <c r="C49" s="32" t="s">
        <v>522</v>
      </c>
      <c r="D49" s="33">
        <v>0.54</v>
      </c>
      <c r="E49" s="32" t="s">
        <v>153</v>
      </c>
      <c r="F49" s="32" t="s">
        <v>523</v>
      </c>
      <c r="G49" s="32" t="s">
        <v>524</v>
      </c>
      <c r="H49" s="32" t="s">
        <v>525</v>
      </c>
    </row>
    <row r="50" spans="1:8">
      <c r="A50" s="32" t="s">
        <v>526</v>
      </c>
      <c r="B50" s="32" t="s">
        <v>516</v>
      </c>
      <c r="C50" s="32" t="s">
        <v>527</v>
      </c>
      <c r="D50" s="33">
        <v>0.11</v>
      </c>
      <c r="E50" s="32" t="s">
        <v>155</v>
      </c>
      <c r="F50" s="32" t="s">
        <v>155</v>
      </c>
      <c r="G50" s="32" t="s">
        <v>528</v>
      </c>
      <c r="H50" s="32" t="s">
        <v>529</v>
      </c>
    </row>
    <row r="51" spans="1:8">
      <c r="A51" s="32" t="s">
        <v>530</v>
      </c>
      <c r="B51" s="32" t="s">
        <v>516</v>
      </c>
      <c r="C51" s="32" t="s">
        <v>531</v>
      </c>
      <c r="D51" s="33">
        <v>0.15</v>
      </c>
      <c r="E51" s="32" t="s">
        <v>157</v>
      </c>
      <c r="F51" s="32" t="s">
        <v>532</v>
      </c>
      <c r="G51" s="32" t="s">
        <v>533</v>
      </c>
      <c r="H51" s="32" t="s">
        <v>534</v>
      </c>
    </row>
    <row r="52" spans="1:8">
      <c r="A52" s="32" t="s">
        <v>535</v>
      </c>
      <c r="B52" s="32" t="s">
        <v>516</v>
      </c>
      <c r="C52" s="32" t="s">
        <v>536</v>
      </c>
      <c r="D52" s="33">
        <v>0.25</v>
      </c>
      <c r="E52" s="32" t="s">
        <v>159</v>
      </c>
      <c r="F52" s="32" t="s">
        <v>159</v>
      </c>
      <c r="G52" s="32" t="s">
        <v>537</v>
      </c>
      <c r="H52" s="32" t="s">
        <v>538</v>
      </c>
    </row>
    <row r="53" spans="1:8">
      <c r="A53" s="32" t="s">
        <v>539</v>
      </c>
      <c r="B53" s="32" t="s">
        <v>516</v>
      </c>
      <c r="C53" s="32" t="s">
        <v>540</v>
      </c>
      <c r="D53" s="33">
        <v>0.22</v>
      </c>
      <c r="E53" s="32" t="s">
        <v>161</v>
      </c>
      <c r="F53" s="32" t="s">
        <v>541</v>
      </c>
      <c r="G53" s="32" t="s">
        <v>542</v>
      </c>
      <c r="H53" s="32" t="s">
        <v>543</v>
      </c>
    </row>
    <row r="54" spans="1:8">
      <c r="A54" s="32" t="s">
        <v>544</v>
      </c>
      <c r="B54" s="32" t="s">
        <v>516</v>
      </c>
      <c r="C54" s="32" t="s">
        <v>545</v>
      </c>
      <c r="D54" s="33">
        <v>0.09</v>
      </c>
      <c r="E54" s="32" t="s">
        <v>163</v>
      </c>
      <c r="F54" s="32" t="s">
        <v>546</v>
      </c>
      <c r="G54" s="32" t="s">
        <v>490</v>
      </c>
      <c r="H54" s="32" t="s">
        <v>547</v>
      </c>
    </row>
    <row r="55" spans="1:8">
      <c r="A55" s="32" t="s">
        <v>548</v>
      </c>
      <c r="B55" s="32" t="s">
        <v>516</v>
      </c>
      <c r="C55" s="32" t="s">
        <v>549</v>
      </c>
      <c r="D55" s="33">
        <v>0.1</v>
      </c>
      <c r="E55" s="32" t="s">
        <v>165</v>
      </c>
      <c r="F55" s="32" t="s">
        <v>165</v>
      </c>
      <c r="G55" s="32" t="s">
        <v>550</v>
      </c>
      <c r="H55" s="32" t="s">
        <v>547</v>
      </c>
    </row>
    <row r="56" spans="1:8">
      <c r="A56" s="32" t="s">
        <v>551</v>
      </c>
      <c r="B56" s="32" t="s">
        <v>552</v>
      </c>
      <c r="C56" s="32" t="s">
        <v>553</v>
      </c>
      <c r="D56" s="33">
        <v>0.2</v>
      </c>
      <c r="E56" s="32" t="s">
        <v>168</v>
      </c>
      <c r="F56" s="32" t="s">
        <v>554</v>
      </c>
      <c r="G56" s="32" t="s">
        <v>555</v>
      </c>
      <c r="H56" s="32" t="s">
        <v>556</v>
      </c>
    </row>
    <row r="57" spans="1:8">
      <c r="A57" s="32" t="s">
        <v>557</v>
      </c>
      <c r="B57" s="32" t="s">
        <v>552</v>
      </c>
      <c r="C57" s="32" t="s">
        <v>558</v>
      </c>
      <c r="D57" s="33">
        <v>0.2</v>
      </c>
      <c r="E57" s="32" t="s">
        <v>170</v>
      </c>
      <c r="F57" s="32" t="s">
        <v>559</v>
      </c>
      <c r="G57" s="32" t="s">
        <v>560</v>
      </c>
      <c r="H57" s="32" t="s">
        <v>556</v>
      </c>
    </row>
    <row r="58" spans="1:8">
      <c r="A58" s="32" t="s">
        <v>561</v>
      </c>
      <c r="B58" s="32" t="s">
        <v>552</v>
      </c>
      <c r="C58" s="32" t="s">
        <v>562</v>
      </c>
      <c r="D58" s="33">
        <v>0.18</v>
      </c>
      <c r="E58" s="32" t="s">
        <v>172</v>
      </c>
      <c r="F58" s="32" t="s">
        <v>563</v>
      </c>
      <c r="G58" s="32" t="s">
        <v>564</v>
      </c>
      <c r="H58" s="32" t="s">
        <v>565</v>
      </c>
    </row>
    <row r="59" spans="1:8">
      <c r="A59" s="32" t="s">
        <v>566</v>
      </c>
      <c r="B59" s="32" t="s">
        <v>552</v>
      </c>
      <c r="C59" s="32" t="s">
        <v>567</v>
      </c>
      <c r="D59" s="33">
        <v>0.09</v>
      </c>
      <c r="E59" s="32" t="s">
        <v>174</v>
      </c>
      <c r="F59" s="32" t="s">
        <v>174</v>
      </c>
      <c r="G59" s="32" t="s">
        <v>351</v>
      </c>
      <c r="H59" s="32" t="s">
        <v>568</v>
      </c>
    </row>
    <row r="60" spans="1:8">
      <c r="A60" s="32" t="s">
        <v>569</v>
      </c>
      <c r="B60" s="32" t="s">
        <v>552</v>
      </c>
      <c r="C60" s="32" t="s">
        <v>570</v>
      </c>
      <c r="D60" s="33">
        <v>0.15</v>
      </c>
      <c r="E60" s="32" t="s">
        <v>176</v>
      </c>
      <c r="F60" s="32" t="s">
        <v>571</v>
      </c>
      <c r="G60" s="32" t="s">
        <v>572</v>
      </c>
      <c r="H60" s="32" t="s">
        <v>565</v>
      </c>
    </row>
    <row r="61" spans="1:8">
      <c r="A61" s="32" t="s">
        <v>573</v>
      </c>
      <c r="B61" s="32" t="s">
        <v>552</v>
      </c>
      <c r="C61" s="32" t="s">
        <v>574</v>
      </c>
      <c r="D61" s="33">
        <v>0.11</v>
      </c>
      <c r="E61" s="32" t="s">
        <v>178</v>
      </c>
      <c r="F61" s="32" t="s">
        <v>178</v>
      </c>
      <c r="G61" s="32" t="s">
        <v>575</v>
      </c>
      <c r="H61" s="32" t="s">
        <v>576</v>
      </c>
    </row>
    <row r="62" spans="1:8">
      <c r="A62" s="32" t="s">
        <v>577</v>
      </c>
      <c r="B62" s="32" t="s">
        <v>552</v>
      </c>
      <c r="C62" s="32" t="s">
        <v>578</v>
      </c>
      <c r="D62" s="33">
        <v>0.28999999999999998</v>
      </c>
      <c r="E62" s="32" t="s">
        <v>180</v>
      </c>
      <c r="F62" s="32" t="s">
        <v>579</v>
      </c>
      <c r="G62" s="32" t="s">
        <v>580</v>
      </c>
      <c r="H62" s="32" t="s">
        <v>581</v>
      </c>
    </row>
    <row r="63" spans="1:8">
      <c r="A63" s="32" t="s">
        <v>582</v>
      </c>
      <c r="B63" s="32" t="s">
        <v>552</v>
      </c>
      <c r="C63" s="32" t="s">
        <v>583</v>
      </c>
      <c r="D63" s="33">
        <v>0.2</v>
      </c>
      <c r="E63" s="32" t="s">
        <v>182</v>
      </c>
      <c r="F63" s="32" t="s">
        <v>584</v>
      </c>
      <c r="G63" s="32" t="s">
        <v>585</v>
      </c>
      <c r="H63" s="32" t="s">
        <v>586</v>
      </c>
    </row>
    <row r="64" spans="1:8">
      <c r="A64" s="32" t="s">
        <v>587</v>
      </c>
      <c r="B64" s="32" t="s">
        <v>588</v>
      </c>
      <c r="C64" s="32" t="s">
        <v>589</v>
      </c>
      <c r="D64" s="33">
        <v>0.51</v>
      </c>
      <c r="E64" s="32" t="s">
        <v>185</v>
      </c>
      <c r="F64" s="32" t="s">
        <v>590</v>
      </c>
      <c r="G64" s="32" t="s">
        <v>591</v>
      </c>
      <c r="H64" s="32" t="s">
        <v>592</v>
      </c>
    </row>
    <row r="65" spans="1:8">
      <c r="A65" s="32" t="s">
        <v>593</v>
      </c>
      <c r="B65" s="32" t="s">
        <v>588</v>
      </c>
      <c r="C65" s="32" t="s">
        <v>594</v>
      </c>
      <c r="D65" s="33">
        <v>0.19</v>
      </c>
      <c r="E65" s="32" t="s">
        <v>187</v>
      </c>
      <c r="F65" s="32" t="s">
        <v>595</v>
      </c>
      <c r="G65" s="32" t="s">
        <v>596</v>
      </c>
      <c r="H65" s="32" t="s">
        <v>597</v>
      </c>
    </row>
    <row r="66" spans="1:8">
      <c r="A66" s="32" t="s">
        <v>598</v>
      </c>
      <c r="B66" s="32" t="s">
        <v>588</v>
      </c>
      <c r="C66" s="32" t="s">
        <v>599</v>
      </c>
      <c r="D66" s="33">
        <v>0.1</v>
      </c>
      <c r="E66" s="32" t="s">
        <v>189</v>
      </c>
      <c r="F66" s="32" t="s">
        <v>189</v>
      </c>
      <c r="G66" s="32" t="s">
        <v>600</v>
      </c>
      <c r="H66" s="32" t="s">
        <v>601</v>
      </c>
    </row>
    <row r="67" spans="1:8">
      <c r="A67" s="32" t="s">
        <v>602</v>
      </c>
      <c r="B67" s="32" t="s">
        <v>603</v>
      </c>
      <c r="C67" s="32" t="s">
        <v>604</v>
      </c>
      <c r="D67" s="33">
        <v>0.28999999999999998</v>
      </c>
      <c r="E67" s="32" t="s">
        <v>192</v>
      </c>
      <c r="F67" s="32" t="s">
        <v>605</v>
      </c>
      <c r="G67" s="32" t="s">
        <v>606</v>
      </c>
      <c r="H67" s="32" t="s">
        <v>607</v>
      </c>
    </row>
    <row r="68" spans="1:8">
      <c r="A68" s="32" t="s">
        <v>608</v>
      </c>
      <c r="B68" s="32" t="s">
        <v>603</v>
      </c>
      <c r="C68" s="32" t="s">
        <v>609</v>
      </c>
      <c r="D68" s="33">
        <v>0.2</v>
      </c>
      <c r="E68" s="32" t="s">
        <v>194</v>
      </c>
      <c r="F68" s="32" t="s">
        <v>610</v>
      </c>
      <c r="G68" s="32" t="s">
        <v>585</v>
      </c>
      <c r="H68" s="32" t="s">
        <v>611</v>
      </c>
    </row>
    <row r="69" spans="1:8">
      <c r="A69" s="32" t="s">
        <v>612</v>
      </c>
      <c r="B69" s="32" t="s">
        <v>603</v>
      </c>
      <c r="C69" s="32" t="s">
        <v>613</v>
      </c>
      <c r="D69" s="33">
        <v>0.08</v>
      </c>
      <c r="E69" s="32" t="s">
        <v>196</v>
      </c>
      <c r="F69" s="32" t="s">
        <v>196</v>
      </c>
      <c r="G69" s="32" t="s">
        <v>614</v>
      </c>
      <c r="H69" s="32" t="s">
        <v>615</v>
      </c>
    </row>
    <row r="70" spans="1:8">
      <c r="A70" s="32" t="s">
        <v>616</v>
      </c>
      <c r="B70" s="32" t="s">
        <v>603</v>
      </c>
      <c r="C70" s="32" t="s">
        <v>617</v>
      </c>
      <c r="D70" s="33">
        <v>0.11</v>
      </c>
      <c r="E70" s="32" t="s">
        <v>198</v>
      </c>
      <c r="F70" s="32" t="s">
        <v>618</v>
      </c>
      <c r="G70" s="32" t="s">
        <v>619</v>
      </c>
      <c r="H70" s="32" t="s">
        <v>620</v>
      </c>
    </row>
    <row r="71" spans="1:8">
      <c r="A71" s="32" t="s">
        <v>621</v>
      </c>
      <c r="B71" s="32" t="s">
        <v>603</v>
      </c>
      <c r="C71" s="32" t="s">
        <v>622</v>
      </c>
      <c r="D71" s="33">
        <v>0.11</v>
      </c>
      <c r="E71" s="32" t="s">
        <v>200</v>
      </c>
      <c r="F71" s="32" t="s">
        <v>200</v>
      </c>
      <c r="G71" s="32" t="s">
        <v>359</v>
      </c>
      <c r="H71" s="32" t="s">
        <v>620</v>
      </c>
    </row>
    <row r="72" spans="1:8">
      <c r="A72" s="32" t="s">
        <v>623</v>
      </c>
      <c r="B72" s="32" t="s">
        <v>624</v>
      </c>
      <c r="C72" s="32" t="s">
        <v>625</v>
      </c>
      <c r="D72" s="33">
        <v>0.08</v>
      </c>
      <c r="E72" s="32" t="s">
        <v>203</v>
      </c>
      <c r="F72" s="32" t="s">
        <v>203</v>
      </c>
      <c r="G72" s="32" t="s">
        <v>448</v>
      </c>
      <c r="H72" s="32" t="s">
        <v>626</v>
      </c>
    </row>
    <row r="73" spans="1:8">
      <c r="A73" s="32" t="s">
        <v>627</v>
      </c>
      <c r="B73" s="32" t="s">
        <v>624</v>
      </c>
      <c r="C73" s="32" t="s">
        <v>628</v>
      </c>
      <c r="D73" s="33">
        <v>0.1</v>
      </c>
      <c r="E73" s="32" t="s">
        <v>205</v>
      </c>
      <c r="F73" s="32" t="s">
        <v>629</v>
      </c>
      <c r="G73" s="32" t="s">
        <v>630</v>
      </c>
      <c r="H73" s="32" t="s">
        <v>626</v>
      </c>
    </row>
    <row r="74" spans="1:8">
      <c r="A74" s="32" t="s">
        <v>631</v>
      </c>
      <c r="B74" s="32" t="s">
        <v>624</v>
      </c>
      <c r="C74" s="32" t="s">
        <v>632</v>
      </c>
      <c r="D74" s="33">
        <v>0.09</v>
      </c>
      <c r="E74" s="32" t="s">
        <v>207</v>
      </c>
      <c r="F74" s="32" t="s">
        <v>633</v>
      </c>
      <c r="G74" s="32" t="s">
        <v>634</v>
      </c>
      <c r="H74" s="32" t="s">
        <v>635</v>
      </c>
    </row>
    <row r="75" spans="1:8">
      <c r="A75" s="32" t="s">
        <v>636</v>
      </c>
      <c r="B75" s="32" t="s">
        <v>624</v>
      </c>
      <c r="C75" s="32" t="s">
        <v>637</v>
      </c>
      <c r="D75" s="33">
        <v>0.09</v>
      </c>
      <c r="E75" s="32" t="s">
        <v>209</v>
      </c>
      <c r="F75" s="32" t="s">
        <v>638</v>
      </c>
      <c r="G75" s="32" t="s">
        <v>508</v>
      </c>
      <c r="H75" s="32" t="s">
        <v>639</v>
      </c>
    </row>
    <row r="76" spans="1:8">
      <c r="A76" s="32" t="s">
        <v>640</v>
      </c>
      <c r="B76" s="32" t="s">
        <v>624</v>
      </c>
      <c r="C76" s="32" t="s">
        <v>641</v>
      </c>
      <c r="D76" s="33">
        <v>0.08</v>
      </c>
      <c r="E76" s="32" t="s">
        <v>211</v>
      </c>
      <c r="F76" s="32" t="s">
        <v>642</v>
      </c>
      <c r="G76" s="32" t="s">
        <v>448</v>
      </c>
      <c r="H76" s="32" t="s">
        <v>643</v>
      </c>
    </row>
    <row r="77" spans="1:8">
      <c r="A77" s="32" t="s">
        <v>644</v>
      </c>
      <c r="B77" s="32" t="s">
        <v>645</v>
      </c>
      <c r="C77" s="32" t="s">
        <v>646</v>
      </c>
      <c r="D77" s="33">
        <v>0.12</v>
      </c>
      <c r="E77" s="32" t="s">
        <v>214</v>
      </c>
      <c r="F77" s="32" t="s">
        <v>647</v>
      </c>
      <c r="G77" s="32" t="s">
        <v>648</v>
      </c>
      <c r="H77" s="32" t="s">
        <v>649</v>
      </c>
    </row>
    <row r="78" spans="1:8">
      <c r="A78" s="32" t="s">
        <v>650</v>
      </c>
      <c r="B78" s="32" t="s">
        <v>645</v>
      </c>
      <c r="C78" s="32" t="s">
        <v>651</v>
      </c>
      <c r="D78" s="33">
        <v>0.19</v>
      </c>
      <c r="E78" s="32" t="s">
        <v>216</v>
      </c>
      <c r="F78" s="32" t="s">
        <v>652</v>
      </c>
      <c r="G78" s="32" t="s">
        <v>653</v>
      </c>
      <c r="H78" s="32" t="s">
        <v>654</v>
      </c>
    </row>
    <row r="79" spans="1:8">
      <c r="A79" s="32" t="s">
        <v>655</v>
      </c>
      <c r="B79" s="32" t="s">
        <v>645</v>
      </c>
      <c r="C79" s="32" t="s">
        <v>656</v>
      </c>
      <c r="D79" s="33">
        <v>0.28999999999999998</v>
      </c>
      <c r="E79" s="32" t="s">
        <v>218</v>
      </c>
      <c r="F79" s="32" t="s">
        <v>657</v>
      </c>
      <c r="G79" s="32" t="s">
        <v>658</v>
      </c>
      <c r="H79" s="32" t="s">
        <v>659</v>
      </c>
    </row>
    <row r="80" spans="1:8">
      <c r="A80" s="32" t="s">
        <v>660</v>
      </c>
      <c r="B80" s="32" t="s">
        <v>645</v>
      </c>
      <c r="C80" s="32" t="s">
        <v>661</v>
      </c>
      <c r="D80" s="33">
        <v>0.33</v>
      </c>
      <c r="E80" s="32" t="s">
        <v>220</v>
      </c>
      <c r="F80" s="32" t="s">
        <v>662</v>
      </c>
      <c r="G80" s="32" t="s">
        <v>663</v>
      </c>
      <c r="H80" s="32" t="s">
        <v>664</v>
      </c>
    </row>
    <row r="81" spans="1:8">
      <c r="A81" s="32" t="s">
        <v>665</v>
      </c>
      <c r="B81" s="32" t="s">
        <v>645</v>
      </c>
      <c r="C81" s="32" t="s">
        <v>666</v>
      </c>
      <c r="D81" s="33">
        <v>0.1</v>
      </c>
      <c r="E81" s="32" t="s">
        <v>222</v>
      </c>
      <c r="F81" s="32" t="s">
        <v>667</v>
      </c>
      <c r="G81" s="32" t="s">
        <v>668</v>
      </c>
      <c r="H81" s="32" t="s">
        <v>669</v>
      </c>
    </row>
    <row r="82" spans="1:8">
      <c r="A82" s="32" t="s">
        <v>670</v>
      </c>
      <c r="B82" s="32" t="s">
        <v>671</v>
      </c>
      <c r="C82" s="32" t="s">
        <v>672</v>
      </c>
      <c r="D82" s="33">
        <v>0.09</v>
      </c>
      <c r="E82" s="32" t="s">
        <v>225</v>
      </c>
      <c r="F82" s="32" t="s">
        <v>225</v>
      </c>
      <c r="G82" s="32" t="s">
        <v>508</v>
      </c>
      <c r="H82" s="32" t="s">
        <v>673</v>
      </c>
    </row>
    <row r="83" spans="1:8">
      <c r="A83" s="32" t="s">
        <v>674</v>
      </c>
      <c r="B83" s="32" t="s">
        <v>671</v>
      </c>
      <c r="C83" s="32" t="s">
        <v>675</v>
      </c>
      <c r="D83" s="33">
        <v>0.22</v>
      </c>
      <c r="E83" s="32" t="s">
        <v>227</v>
      </c>
      <c r="F83" s="32" t="s">
        <v>676</v>
      </c>
      <c r="G83" s="32" t="s">
        <v>677</v>
      </c>
      <c r="H83" s="32" t="s">
        <v>678</v>
      </c>
    </row>
    <row r="84" spans="1:8">
      <c r="A84" s="32" t="s">
        <v>679</v>
      </c>
      <c r="B84" s="32" t="s">
        <v>671</v>
      </c>
      <c r="C84" s="32" t="s">
        <v>680</v>
      </c>
      <c r="D84" s="33">
        <v>0.22</v>
      </c>
      <c r="E84" s="32" t="s">
        <v>229</v>
      </c>
      <c r="F84" s="32" t="s">
        <v>681</v>
      </c>
      <c r="G84" s="32" t="s">
        <v>682</v>
      </c>
      <c r="H84" s="32" t="s">
        <v>678</v>
      </c>
    </row>
    <row r="85" spans="1:8">
      <c r="A85" s="32" t="s">
        <v>683</v>
      </c>
      <c r="B85" s="32" t="s">
        <v>671</v>
      </c>
      <c r="C85" s="32" t="s">
        <v>684</v>
      </c>
      <c r="D85" s="33">
        <v>0.19</v>
      </c>
      <c r="E85" s="32" t="s">
        <v>231</v>
      </c>
      <c r="F85" s="32" t="s">
        <v>685</v>
      </c>
      <c r="G85" s="32" t="s">
        <v>686</v>
      </c>
      <c r="H85" s="32" t="s">
        <v>687</v>
      </c>
    </row>
    <row r="86" spans="1:8">
      <c r="A86" s="32" t="s">
        <v>688</v>
      </c>
      <c r="B86" s="32" t="s">
        <v>671</v>
      </c>
      <c r="C86" s="32" t="s">
        <v>689</v>
      </c>
      <c r="D86" s="33">
        <v>0.25</v>
      </c>
      <c r="E86" s="32" t="s">
        <v>233</v>
      </c>
      <c r="F86" s="32" t="s">
        <v>690</v>
      </c>
      <c r="G86" s="32" t="s">
        <v>691</v>
      </c>
      <c r="H86" s="32" t="s">
        <v>692</v>
      </c>
    </row>
    <row r="87" spans="1:8">
      <c r="A87" s="32" t="s">
        <v>693</v>
      </c>
      <c r="B87" s="32" t="s">
        <v>694</v>
      </c>
      <c r="C87" s="32" t="s">
        <v>695</v>
      </c>
      <c r="D87" s="33">
        <v>0.09</v>
      </c>
      <c r="E87" s="32" t="s">
        <v>236</v>
      </c>
      <c r="F87" s="32" t="s">
        <v>696</v>
      </c>
      <c r="G87" s="32" t="s">
        <v>381</v>
      </c>
      <c r="H87" s="32" t="s">
        <v>697</v>
      </c>
    </row>
    <row r="88" spans="1:8">
      <c r="A88" s="32" t="s">
        <v>698</v>
      </c>
      <c r="B88" s="32" t="s">
        <v>694</v>
      </c>
      <c r="C88" s="32" t="s">
        <v>699</v>
      </c>
      <c r="D88" s="33">
        <v>0.2</v>
      </c>
      <c r="E88" s="32" t="s">
        <v>238</v>
      </c>
      <c r="F88" s="32" t="s">
        <v>700</v>
      </c>
      <c r="G88" s="32" t="s">
        <v>585</v>
      </c>
      <c r="H88" s="32" t="s">
        <v>701</v>
      </c>
    </row>
    <row r="89" spans="1:8">
      <c r="A89" s="32" t="s">
        <v>702</v>
      </c>
      <c r="B89" s="32" t="s">
        <v>694</v>
      </c>
      <c r="C89" s="32" t="s">
        <v>703</v>
      </c>
      <c r="D89" s="33">
        <v>0.14000000000000001</v>
      </c>
      <c r="E89" s="32" t="s">
        <v>240</v>
      </c>
      <c r="F89" s="32" t="s">
        <v>704</v>
      </c>
      <c r="G89" s="32" t="s">
        <v>705</v>
      </c>
      <c r="H89" s="32" t="s">
        <v>706</v>
      </c>
    </row>
    <row r="90" spans="1:8">
      <c r="A90" s="32" t="s">
        <v>707</v>
      </c>
      <c r="B90" s="32" t="s">
        <v>694</v>
      </c>
      <c r="C90" s="32" t="s">
        <v>708</v>
      </c>
      <c r="D90" s="33">
        <v>0.11</v>
      </c>
      <c r="E90" s="32" t="s">
        <v>242</v>
      </c>
      <c r="F90" s="32" t="s">
        <v>709</v>
      </c>
      <c r="G90" s="32" t="s">
        <v>619</v>
      </c>
      <c r="H90" s="32" t="s">
        <v>710</v>
      </c>
    </row>
    <row r="91" spans="1:8">
      <c r="A91" s="32" t="s">
        <v>711</v>
      </c>
      <c r="B91" s="32" t="s">
        <v>712</v>
      </c>
      <c r="C91" s="32" t="s">
        <v>713</v>
      </c>
      <c r="D91" s="33">
        <v>0.11</v>
      </c>
      <c r="E91" s="32" t="s">
        <v>245</v>
      </c>
      <c r="F91" s="32" t="s">
        <v>245</v>
      </c>
      <c r="G91" s="32" t="s">
        <v>619</v>
      </c>
      <c r="H91" s="32" t="s">
        <v>714</v>
      </c>
    </row>
    <row r="92" spans="1:8">
      <c r="A92" s="32" t="s">
        <v>715</v>
      </c>
      <c r="B92" s="32" t="s">
        <v>712</v>
      </c>
      <c r="C92" s="32" t="s">
        <v>716</v>
      </c>
      <c r="D92" s="33">
        <v>0.12</v>
      </c>
      <c r="E92" s="32" t="s">
        <v>247</v>
      </c>
      <c r="F92" s="32" t="s">
        <v>717</v>
      </c>
      <c r="G92" s="32" t="s">
        <v>718</v>
      </c>
      <c r="H92" s="32" t="s">
        <v>719</v>
      </c>
    </row>
    <row r="93" spans="1:8">
      <c r="A93" s="32" t="s">
        <v>720</v>
      </c>
      <c r="B93" s="32" t="s">
        <v>712</v>
      </c>
      <c r="C93" s="32" t="s">
        <v>721</v>
      </c>
      <c r="D93" s="33">
        <v>0.11</v>
      </c>
      <c r="E93" s="32" t="s">
        <v>249</v>
      </c>
      <c r="F93" s="32" t="s">
        <v>722</v>
      </c>
      <c r="G93" s="32" t="s">
        <v>619</v>
      </c>
      <c r="H93" s="32" t="s">
        <v>714</v>
      </c>
    </row>
    <row r="94" spans="1:8">
      <c r="A94" s="32" t="s">
        <v>723</v>
      </c>
      <c r="B94" s="32" t="s">
        <v>712</v>
      </c>
      <c r="C94" s="32" t="s">
        <v>724</v>
      </c>
      <c r="D94" s="33">
        <v>0.11</v>
      </c>
      <c r="E94" s="32" t="s">
        <v>251</v>
      </c>
      <c r="F94" s="32" t="s">
        <v>251</v>
      </c>
      <c r="G94" s="32" t="s">
        <v>376</v>
      </c>
      <c r="H94" s="32" t="s">
        <v>714</v>
      </c>
    </row>
    <row r="95" spans="1:8">
      <c r="A95" s="32" t="s">
        <v>725</v>
      </c>
      <c r="B95" s="32" t="s">
        <v>726</v>
      </c>
      <c r="C95" s="32" t="s">
        <v>727</v>
      </c>
      <c r="D95" s="33">
        <v>0.28999999999999998</v>
      </c>
      <c r="E95" s="32" t="s">
        <v>254</v>
      </c>
      <c r="F95" s="32" t="s">
        <v>728</v>
      </c>
      <c r="G95" s="32" t="s">
        <v>658</v>
      </c>
      <c r="H95" s="32" t="s">
        <v>729</v>
      </c>
    </row>
    <row r="96" spans="1:8">
      <c r="A96" s="32" t="s">
        <v>730</v>
      </c>
      <c r="B96" s="32" t="s">
        <v>726</v>
      </c>
      <c r="C96" s="32" t="s">
        <v>731</v>
      </c>
      <c r="D96" s="33">
        <v>0.18</v>
      </c>
      <c r="E96" s="32" t="s">
        <v>256</v>
      </c>
      <c r="F96" s="32" t="s">
        <v>732</v>
      </c>
      <c r="G96" s="32" t="s">
        <v>733</v>
      </c>
      <c r="H96" s="32" t="s">
        <v>734</v>
      </c>
    </row>
    <row r="97" spans="1:8">
      <c r="A97" s="32" t="s">
        <v>735</v>
      </c>
      <c r="B97" s="32" t="s">
        <v>726</v>
      </c>
      <c r="C97" s="32" t="s">
        <v>736</v>
      </c>
      <c r="D97" s="33">
        <v>0.21</v>
      </c>
      <c r="E97" s="32" t="s">
        <v>258</v>
      </c>
      <c r="F97" s="32" t="s">
        <v>737</v>
      </c>
      <c r="G97" s="32" t="s">
        <v>738</v>
      </c>
      <c r="H97" s="32" t="s">
        <v>739</v>
      </c>
    </row>
    <row r="98" spans="1:8">
      <c r="A98" s="32" t="s">
        <v>740</v>
      </c>
      <c r="B98" s="32" t="s">
        <v>726</v>
      </c>
      <c r="C98" s="32" t="s">
        <v>741</v>
      </c>
      <c r="D98" s="33">
        <v>0.12</v>
      </c>
      <c r="E98" s="32" t="s">
        <v>260</v>
      </c>
      <c r="F98" s="32" t="s">
        <v>742</v>
      </c>
      <c r="G98" s="32" t="s">
        <v>743</v>
      </c>
      <c r="H98" s="32" t="s">
        <v>744</v>
      </c>
    </row>
    <row r="99" spans="1:8">
      <c r="A99" s="32" t="s">
        <v>745</v>
      </c>
      <c r="B99" s="32" t="s">
        <v>746</v>
      </c>
      <c r="C99" s="32" t="s">
        <v>747</v>
      </c>
      <c r="D99" s="33">
        <v>0.1</v>
      </c>
      <c r="E99" s="32" t="s">
        <v>263</v>
      </c>
      <c r="F99" s="32" t="s">
        <v>263</v>
      </c>
      <c r="G99" s="32" t="s">
        <v>367</v>
      </c>
      <c r="H99" s="32" t="s">
        <v>748</v>
      </c>
    </row>
    <row r="100" spans="1:8">
      <c r="A100" s="32" t="s">
        <v>749</v>
      </c>
      <c r="B100" s="32" t="s">
        <v>746</v>
      </c>
      <c r="C100" s="32" t="s">
        <v>750</v>
      </c>
      <c r="D100" s="33">
        <v>0.11</v>
      </c>
      <c r="E100" s="32" t="s">
        <v>265</v>
      </c>
      <c r="F100" s="32" t="s">
        <v>265</v>
      </c>
      <c r="G100" s="32" t="s">
        <v>751</v>
      </c>
      <c r="H100" s="32" t="s">
        <v>752</v>
      </c>
    </row>
    <row r="101" spans="1:8">
      <c r="A101" s="32" t="s">
        <v>753</v>
      </c>
      <c r="B101" s="32" t="s">
        <v>746</v>
      </c>
      <c r="C101" s="32" t="s">
        <v>754</v>
      </c>
      <c r="D101" s="33">
        <v>0.18</v>
      </c>
      <c r="E101" s="32" t="s">
        <v>267</v>
      </c>
      <c r="F101" s="32" t="s">
        <v>755</v>
      </c>
      <c r="G101" s="32" t="s">
        <v>756</v>
      </c>
      <c r="H101" s="32" t="s">
        <v>757</v>
      </c>
    </row>
    <row r="102" spans="1:8">
      <c r="A102" s="32" t="s">
        <v>758</v>
      </c>
      <c r="B102" s="32" t="s">
        <v>746</v>
      </c>
      <c r="C102" s="32" t="s">
        <v>759</v>
      </c>
      <c r="D102" s="33">
        <v>0.11</v>
      </c>
      <c r="E102" s="32" t="s">
        <v>269</v>
      </c>
      <c r="F102" s="32" t="s">
        <v>760</v>
      </c>
      <c r="G102" s="32" t="s">
        <v>761</v>
      </c>
      <c r="H102" s="32" t="s">
        <v>762</v>
      </c>
    </row>
    <row r="103" spans="1:8">
      <c r="A103" s="32" t="s">
        <v>763</v>
      </c>
      <c r="B103" s="32" t="s">
        <v>746</v>
      </c>
      <c r="C103" s="32" t="s">
        <v>764</v>
      </c>
      <c r="D103" s="33">
        <v>0.11</v>
      </c>
      <c r="E103" s="32" t="s">
        <v>271</v>
      </c>
      <c r="F103" s="32" t="s">
        <v>271</v>
      </c>
      <c r="G103" s="32" t="s">
        <v>504</v>
      </c>
      <c r="H103" s="32" t="s">
        <v>765</v>
      </c>
    </row>
    <row r="104" spans="1:8">
      <c r="A104" s="32" t="s">
        <v>766</v>
      </c>
      <c r="B104" s="32" t="s">
        <v>767</v>
      </c>
      <c r="C104" s="32" t="s">
        <v>768</v>
      </c>
      <c r="D104" s="33">
        <v>0.18</v>
      </c>
      <c r="E104" s="32" t="s">
        <v>274</v>
      </c>
      <c r="F104" s="32" t="s">
        <v>769</v>
      </c>
      <c r="G104" s="32" t="s">
        <v>733</v>
      </c>
      <c r="H104" s="32" t="s">
        <v>770</v>
      </c>
    </row>
    <row r="105" spans="1:8">
      <c r="A105" s="32" t="s">
        <v>771</v>
      </c>
      <c r="B105" s="32" t="s">
        <v>767</v>
      </c>
      <c r="C105" s="32" t="s">
        <v>772</v>
      </c>
      <c r="D105" s="33">
        <v>0.1</v>
      </c>
      <c r="E105" s="32" t="s">
        <v>276</v>
      </c>
      <c r="F105" s="32" t="s">
        <v>276</v>
      </c>
      <c r="G105" s="32" t="s">
        <v>773</v>
      </c>
      <c r="H105" s="32" t="s">
        <v>774</v>
      </c>
    </row>
    <row r="106" spans="1:8">
      <c r="A106" s="32" t="s">
        <v>775</v>
      </c>
      <c r="B106" s="32" t="s">
        <v>767</v>
      </c>
      <c r="C106" s="32" t="s">
        <v>776</v>
      </c>
      <c r="D106" s="33">
        <v>0.1</v>
      </c>
      <c r="E106" s="32" t="s">
        <v>278</v>
      </c>
      <c r="F106" s="32" t="s">
        <v>278</v>
      </c>
      <c r="G106" s="32" t="s">
        <v>668</v>
      </c>
      <c r="H106" s="32" t="s">
        <v>774</v>
      </c>
    </row>
    <row r="107" spans="1:8">
      <c r="A107" s="32" t="s">
        <v>777</v>
      </c>
      <c r="B107" s="32" t="s">
        <v>767</v>
      </c>
      <c r="C107" s="32" t="s">
        <v>778</v>
      </c>
      <c r="D107" s="33">
        <v>0.09</v>
      </c>
      <c r="E107" s="32" t="s">
        <v>280</v>
      </c>
      <c r="F107" s="32" t="s">
        <v>779</v>
      </c>
      <c r="G107" s="32" t="s">
        <v>508</v>
      </c>
      <c r="H107" s="32" t="s">
        <v>780</v>
      </c>
    </row>
    <row r="108" spans="1:8">
      <c r="A108" s="32" t="s">
        <v>781</v>
      </c>
      <c r="B108" s="32" t="s">
        <v>782</v>
      </c>
      <c r="C108" s="32" t="s">
        <v>783</v>
      </c>
      <c r="D108" s="33">
        <v>0.48</v>
      </c>
      <c r="E108" s="32" t="s">
        <v>283</v>
      </c>
      <c r="F108" s="32" t="s">
        <v>784</v>
      </c>
      <c r="G108" s="32" t="s">
        <v>785</v>
      </c>
      <c r="H108" s="32" t="s">
        <v>786</v>
      </c>
    </row>
    <row r="109" spans="1:8">
      <c r="A109" s="32" t="s">
        <v>787</v>
      </c>
      <c r="B109" s="32" t="s">
        <v>782</v>
      </c>
      <c r="C109" s="32" t="s">
        <v>788</v>
      </c>
      <c r="D109" s="33">
        <v>0.79</v>
      </c>
      <c r="E109" s="32" t="s">
        <v>285</v>
      </c>
      <c r="F109" s="32" t="s">
        <v>789</v>
      </c>
      <c r="G109" s="32" t="s">
        <v>790</v>
      </c>
      <c r="H109" s="32" t="s">
        <v>791</v>
      </c>
    </row>
    <row r="110" spans="1:8">
      <c r="A110" s="32" t="s">
        <v>792</v>
      </c>
      <c r="B110" s="32" t="s">
        <v>782</v>
      </c>
      <c r="C110" s="32" t="s">
        <v>793</v>
      </c>
      <c r="D110" s="33">
        <v>0.21</v>
      </c>
      <c r="E110" s="32" t="s">
        <v>287</v>
      </c>
      <c r="F110" s="32" t="s">
        <v>794</v>
      </c>
      <c r="G110" s="32" t="s">
        <v>795</v>
      </c>
      <c r="H110" s="32" t="s">
        <v>796</v>
      </c>
    </row>
    <row r="111" spans="1:8">
      <c r="A111" s="32" t="s">
        <v>797</v>
      </c>
      <c r="B111" s="32" t="s">
        <v>782</v>
      </c>
      <c r="C111" s="32" t="s">
        <v>798</v>
      </c>
      <c r="D111" s="33">
        <v>0.16</v>
      </c>
      <c r="E111" s="32" t="s">
        <v>289</v>
      </c>
      <c r="F111" s="32" t="s">
        <v>289</v>
      </c>
      <c r="G111" s="32" t="s">
        <v>799</v>
      </c>
      <c r="H111" s="32" t="s">
        <v>796</v>
      </c>
    </row>
    <row r="112" spans="1:8">
      <c r="A112" s="32" t="s">
        <v>800</v>
      </c>
      <c r="B112" s="32" t="s">
        <v>782</v>
      </c>
      <c r="C112" s="32" t="s">
        <v>801</v>
      </c>
      <c r="D112" s="33">
        <v>0.09</v>
      </c>
      <c r="E112" s="32" t="s">
        <v>291</v>
      </c>
      <c r="F112" s="32" t="s">
        <v>291</v>
      </c>
      <c r="G112" s="32" t="s">
        <v>494</v>
      </c>
      <c r="H112" s="32" t="s">
        <v>802</v>
      </c>
    </row>
    <row r="113" spans="1:8">
      <c r="A113" s="32" t="s">
        <v>803</v>
      </c>
      <c r="B113" s="32" t="s">
        <v>804</v>
      </c>
      <c r="C113" s="32" t="s">
        <v>805</v>
      </c>
      <c r="D113" s="33">
        <v>0.11</v>
      </c>
      <c r="E113" s="32" t="s">
        <v>294</v>
      </c>
      <c r="F113" s="32" t="s">
        <v>294</v>
      </c>
      <c r="G113" s="32" t="s">
        <v>619</v>
      </c>
      <c r="H113" s="32" t="s">
        <v>806</v>
      </c>
    </row>
    <row r="114" spans="1:8">
      <c r="A114" s="32" t="s">
        <v>807</v>
      </c>
      <c r="B114" s="32" t="s">
        <v>804</v>
      </c>
      <c r="C114" s="32" t="s">
        <v>808</v>
      </c>
      <c r="D114" s="33">
        <v>0.11</v>
      </c>
      <c r="E114" s="32" t="s">
        <v>296</v>
      </c>
      <c r="F114" s="32" t="s">
        <v>809</v>
      </c>
      <c r="G114" s="32" t="s">
        <v>504</v>
      </c>
      <c r="H114" s="32" t="s">
        <v>806</v>
      </c>
    </row>
    <row r="115" spans="1:8">
      <c r="A115" s="32" t="s">
        <v>810</v>
      </c>
      <c r="B115" s="32" t="s">
        <v>804</v>
      </c>
      <c r="C115" s="32" t="s">
        <v>811</v>
      </c>
      <c r="D115" s="33">
        <v>0.21</v>
      </c>
      <c r="E115" s="32" t="s">
        <v>298</v>
      </c>
      <c r="F115" s="32" t="s">
        <v>812</v>
      </c>
      <c r="G115" s="32" t="s">
        <v>738</v>
      </c>
      <c r="H115" s="32" t="s">
        <v>813</v>
      </c>
    </row>
    <row r="116" spans="1:8">
      <c r="A116" s="32" t="s">
        <v>814</v>
      </c>
      <c r="B116" s="32" t="s">
        <v>804</v>
      </c>
      <c r="C116" s="32" t="s">
        <v>815</v>
      </c>
      <c r="D116" s="33">
        <v>0.12</v>
      </c>
      <c r="E116" s="32" t="s">
        <v>300</v>
      </c>
      <c r="F116" s="32" t="s">
        <v>816</v>
      </c>
      <c r="G116" s="32" t="s">
        <v>817</v>
      </c>
      <c r="H116" s="32" t="s">
        <v>818</v>
      </c>
    </row>
    <row r="117" spans="1:8">
      <c r="A117" s="32" t="s">
        <v>819</v>
      </c>
      <c r="B117" s="32" t="s">
        <v>804</v>
      </c>
      <c r="C117" s="32" t="s">
        <v>820</v>
      </c>
      <c r="D117" s="33">
        <v>0.09</v>
      </c>
      <c r="E117" s="32" t="s">
        <v>302</v>
      </c>
      <c r="F117" s="32" t="s">
        <v>821</v>
      </c>
      <c r="G117" s="32" t="s">
        <v>351</v>
      </c>
      <c r="H117" s="32" t="s">
        <v>818</v>
      </c>
    </row>
    <row r="118" spans="1:8">
      <c r="A118" s="32" t="s">
        <v>822</v>
      </c>
      <c r="B118" s="32" t="s">
        <v>823</v>
      </c>
      <c r="C118" s="32" t="s">
        <v>824</v>
      </c>
      <c r="D118" s="33">
        <v>0.12</v>
      </c>
      <c r="E118" s="32" t="s">
        <v>305</v>
      </c>
      <c r="F118" s="32" t="s">
        <v>305</v>
      </c>
      <c r="G118" s="32" t="s">
        <v>825</v>
      </c>
      <c r="H118" s="32" t="s">
        <v>826</v>
      </c>
    </row>
    <row r="119" spans="1:8">
      <c r="A119" s="32" t="s">
        <v>827</v>
      </c>
      <c r="B119" s="32" t="s">
        <v>823</v>
      </c>
      <c r="C119" s="32" t="s">
        <v>828</v>
      </c>
      <c r="D119" s="33">
        <v>0.39</v>
      </c>
      <c r="E119" s="32" t="s">
        <v>307</v>
      </c>
      <c r="F119" s="32" t="s">
        <v>829</v>
      </c>
      <c r="G119" s="32" t="s">
        <v>830</v>
      </c>
      <c r="H119" s="32" t="s">
        <v>831</v>
      </c>
    </row>
    <row r="120" spans="1:8">
      <c r="A120" s="32" t="s">
        <v>832</v>
      </c>
      <c r="B120" s="32" t="s">
        <v>823</v>
      </c>
      <c r="C120" s="32" t="s">
        <v>833</v>
      </c>
      <c r="D120" s="33">
        <v>0.4</v>
      </c>
      <c r="E120" s="32" t="s">
        <v>309</v>
      </c>
      <c r="F120" s="32" t="s">
        <v>834</v>
      </c>
      <c r="G120" s="32" t="s">
        <v>835</v>
      </c>
      <c r="H120" s="32" t="s">
        <v>836</v>
      </c>
    </row>
    <row r="121" spans="1:8">
      <c r="A121" s="32" t="s">
        <v>837</v>
      </c>
      <c r="B121" s="32" t="s">
        <v>823</v>
      </c>
      <c r="C121" s="32" t="s">
        <v>838</v>
      </c>
      <c r="D121" s="33">
        <v>0.31</v>
      </c>
      <c r="E121" s="32" t="s">
        <v>311</v>
      </c>
      <c r="F121" s="32" t="s">
        <v>839</v>
      </c>
      <c r="G121" s="32" t="s">
        <v>840</v>
      </c>
      <c r="H121" s="32" t="s">
        <v>841</v>
      </c>
    </row>
    <row r="122" spans="1:8">
      <c r="A122" s="32" t="s">
        <v>842</v>
      </c>
      <c r="B122" s="32" t="s">
        <v>823</v>
      </c>
      <c r="C122" s="32" t="s">
        <v>843</v>
      </c>
      <c r="D122" s="33">
        <v>0.31</v>
      </c>
      <c r="E122" s="32" t="s">
        <v>313</v>
      </c>
      <c r="F122" s="32" t="s">
        <v>844</v>
      </c>
      <c r="G122" s="32" t="s">
        <v>845</v>
      </c>
      <c r="H122" s="32" t="s">
        <v>846</v>
      </c>
    </row>
    <row r="123" spans="1:8">
      <c r="A123" s="32" t="s">
        <v>847</v>
      </c>
      <c r="B123" s="32" t="s">
        <v>823</v>
      </c>
      <c r="C123" s="32" t="s">
        <v>848</v>
      </c>
      <c r="D123" s="33">
        <v>0.2</v>
      </c>
      <c r="E123" s="32" t="s">
        <v>315</v>
      </c>
      <c r="F123" s="32" t="s">
        <v>849</v>
      </c>
      <c r="G123" s="32" t="s">
        <v>585</v>
      </c>
      <c r="H123" s="32" t="s">
        <v>850</v>
      </c>
    </row>
    <row r="124" spans="1:8">
      <c r="A124" s="32" t="s">
        <v>851</v>
      </c>
      <c r="B124" s="32" t="s">
        <v>852</v>
      </c>
      <c r="C124" s="32" t="s">
        <v>853</v>
      </c>
      <c r="D124" s="33">
        <v>0.38</v>
      </c>
      <c r="E124" s="32" t="s">
        <v>318</v>
      </c>
      <c r="F124" s="32" t="s">
        <v>854</v>
      </c>
      <c r="G124" s="32" t="s">
        <v>855</v>
      </c>
      <c r="H124" s="32" t="s">
        <v>856</v>
      </c>
    </row>
    <row r="125" spans="1:8">
      <c r="A125" s="32" t="s">
        <v>857</v>
      </c>
      <c r="B125" s="32" t="s">
        <v>852</v>
      </c>
      <c r="C125" s="32" t="s">
        <v>858</v>
      </c>
      <c r="D125" s="33">
        <v>0.8</v>
      </c>
      <c r="E125" s="32" t="s">
        <v>320</v>
      </c>
      <c r="F125" s="32" t="s">
        <v>859</v>
      </c>
      <c r="G125" s="32" t="s">
        <v>860</v>
      </c>
      <c r="H125" s="32" t="s">
        <v>861</v>
      </c>
    </row>
    <row r="126" spans="1:8">
      <c r="A126" s="32" t="s">
        <v>862</v>
      </c>
      <c r="B126" s="32" t="s">
        <v>852</v>
      </c>
      <c r="C126" s="32" t="s">
        <v>863</v>
      </c>
      <c r="D126" s="33">
        <v>0.4</v>
      </c>
      <c r="E126" s="32" t="s">
        <v>322</v>
      </c>
      <c r="F126" s="32" t="s">
        <v>864</v>
      </c>
      <c r="G126" s="32" t="s">
        <v>865</v>
      </c>
      <c r="H126" s="32" t="s">
        <v>866</v>
      </c>
    </row>
    <row r="127" spans="1:8">
      <c r="A127" s="32" t="s">
        <v>867</v>
      </c>
      <c r="B127" s="32" t="s">
        <v>852</v>
      </c>
      <c r="C127" s="32" t="s">
        <v>868</v>
      </c>
      <c r="D127" s="33">
        <v>0.19</v>
      </c>
      <c r="E127" s="32" t="s">
        <v>324</v>
      </c>
      <c r="F127" s="32" t="s">
        <v>869</v>
      </c>
      <c r="G127" s="32" t="s">
        <v>870</v>
      </c>
      <c r="H127" s="32" t="s">
        <v>871</v>
      </c>
    </row>
    <row r="128" spans="1:8">
      <c r="A128" s="32" t="s">
        <v>872</v>
      </c>
      <c r="B128" s="32" t="s">
        <v>852</v>
      </c>
      <c r="C128" s="32" t="s">
        <v>873</v>
      </c>
      <c r="D128" s="33">
        <v>0.31</v>
      </c>
      <c r="E128" s="32" t="s">
        <v>326</v>
      </c>
      <c r="F128" s="32" t="s">
        <v>874</v>
      </c>
      <c r="G128" s="32" t="s">
        <v>875</v>
      </c>
      <c r="H128" s="32" t="s">
        <v>876</v>
      </c>
    </row>
  </sheetData>
  <autoFilter ref="A7:H128" xr:uid="{00000000-0009-0000-0000-000001000000}"/>
  <pageMargins left="0.75" right="0.75" top="1" bottom="1" header="0.5" footer="0.5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5c6f1f-684a-43f4-95e2-02513778b364">
      <Terms xmlns="http://schemas.microsoft.com/office/infopath/2007/PartnerControls"/>
    </lcf76f155ced4ddcb4097134ff3c332f>
    <TaxCatchAll xmlns="a7ce0bcc-6495-4a55-afe9-badb8047930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67D455BD892474DB16AC6BDA1F20675" ma:contentTypeVersion="9" ma:contentTypeDescription="Ein neues Dokument erstellen." ma:contentTypeScope="" ma:versionID="aa9876f7019c0e74699f2b1bb379136c">
  <xsd:schema xmlns:xsd="http://www.w3.org/2001/XMLSchema" xmlns:xs="http://www.w3.org/2001/XMLSchema" xmlns:p="http://schemas.microsoft.com/office/2006/metadata/properties" xmlns:ns2="d65c6f1f-684a-43f4-95e2-02513778b364" xmlns:ns3="a7ce0bcc-6495-4a55-afe9-badb80479304" targetNamespace="http://schemas.microsoft.com/office/2006/metadata/properties" ma:root="true" ma:fieldsID="131a0f04f85ca0be2ad16940f98f6945" ns2:_="" ns3:_="">
    <xsd:import namespace="d65c6f1f-684a-43f4-95e2-02513778b364"/>
    <xsd:import namespace="a7ce0bcc-6495-4a55-afe9-badb80479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c6f1f-684a-43f4-95e2-02513778b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aaed227-5262-486c-8174-b55c599317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e0bcc-6495-4a55-afe9-badb804793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3ea1b68-100c-4c9c-94b6-51dac169b231}" ma:internalName="TaxCatchAll" ma:showField="CatchAllData" ma:web="a7ce0bcc-6495-4a55-afe9-badb80479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2D869B-942E-47BE-9D02-F4058642D042}"/>
</file>

<file path=customXml/itemProps2.xml><?xml version="1.0" encoding="utf-8"?>
<ds:datastoreItem xmlns:ds="http://schemas.openxmlformats.org/officeDocument/2006/customXml" ds:itemID="{E7B1A2BE-24A9-446A-9430-5FD47C5E48BB}"/>
</file>

<file path=customXml/itemProps3.xml><?xml version="1.0" encoding="utf-8"?>
<ds:datastoreItem xmlns:ds="http://schemas.openxmlformats.org/officeDocument/2006/customXml" ds:itemID="{392EFA06-6929-48B9-AD62-31D20C635C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 Lagunov</cp:lastModifiedBy>
  <cp:revision/>
  <dcterms:created xsi:type="dcterms:W3CDTF">2026-10-07T10:45:39Z</dcterms:created>
  <dcterms:modified xsi:type="dcterms:W3CDTF">2026-10-07T10:45:39Z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0x010100367D455BD892474DB16AC6BDA1F20675</vt:lpwstr>
  </property>
  <property fmtid="{D5CDD505-2E9C-101B-9397-08002B2CF9AE}" pid="3" name="MediaServiceImageTags">
    <vt:lpwstr/>
  </property>
</Properties>
</file>